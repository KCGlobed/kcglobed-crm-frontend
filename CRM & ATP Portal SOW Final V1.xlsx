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cglo\Desktop\CRM\"/>
    </mc:Choice>
  </mc:AlternateContent>
  <xr:revisionPtr revIDLastSave="0" documentId="8_{91F4AA8C-75E5-49C8-A020-4217BC3628FD}" xr6:coauthVersionLast="47" xr6:coauthVersionMax="47" xr10:uidLastSave="{00000000-0000-0000-0000-000000000000}"/>
  <bookViews>
    <workbookView xWindow="-120" yWindow="-120" windowWidth="20730" windowHeight="11040" tabRatio="500" firstSheet="1" activeTab="1" xr2:uid="{00000000-000D-0000-FFFF-FFFF00000000}"/>
  </bookViews>
  <sheets>
    <sheet name="Read Me" sheetId="1" r:id="rId1"/>
    <sheet name="Requirements" sheetId="3" r:id="rId2"/>
    <sheet name="Summary" sheetId="2" r:id="rId3"/>
    <sheet name="Phase Plan" sheetId="4" r:id="rId4"/>
    <sheet name="Student Panel" sheetId="5" r:id="rId5"/>
    <sheet name="Roles &amp; Access" sheetId="6" r:id="rId6"/>
    <sheet name="Candidate Journey" sheetId="7" r:id="rId7"/>
    <sheet name="Open Questions" sheetId="8" r:id="rId8"/>
  </sheets>
  <definedNames>
    <definedName name="_xlnm._FilterDatabase" localSheetId="6" hidden="1">'Candidate Journey'!$A$2:$F$18</definedName>
    <definedName name="_xlnm._FilterDatabase" localSheetId="7" hidden="1">'Open Questions'!$A$1:$E$14</definedName>
    <definedName name="_xlnm._FilterDatabase" localSheetId="3" hidden="1">'Phase Plan'!$A$2:$E$5</definedName>
    <definedName name="_xlnm._FilterDatabase" localSheetId="5" hidden="1">'Roles &amp; Access'!$A$2:$I$25</definedName>
    <definedName name="_xlnm._FilterDatabase" localSheetId="4" hidden="1">'Student Panel'!$A$2:$F$33</definedName>
    <definedName name="_xlnm._FilterDatabase" localSheetId="1" hidden="1">Requirements!$A$2:$H$229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6" i="2" l="1"/>
  <c r="B35" i="2"/>
  <c r="D32" i="2"/>
  <c r="C32" i="2"/>
  <c r="B32" i="2"/>
  <c r="E32" i="2" s="1"/>
  <c r="D31" i="2"/>
  <c r="C31" i="2"/>
  <c r="B31" i="2"/>
  <c r="E31" i="2" s="1"/>
  <c r="D30" i="2"/>
  <c r="C30" i="2"/>
  <c r="B30" i="2"/>
  <c r="E30" i="2" s="1"/>
  <c r="D29" i="2"/>
  <c r="C29" i="2"/>
  <c r="B29" i="2"/>
  <c r="E29" i="2" s="1"/>
  <c r="D28" i="2"/>
  <c r="C28" i="2"/>
  <c r="B28" i="2"/>
  <c r="E28" i="2" s="1"/>
  <c r="D27" i="2"/>
  <c r="C27" i="2"/>
  <c r="B27" i="2"/>
  <c r="E27" i="2" s="1"/>
  <c r="D26" i="2"/>
  <c r="C26" i="2"/>
  <c r="B26" i="2"/>
  <c r="E26" i="2" s="1"/>
  <c r="D25" i="2"/>
  <c r="C25" i="2"/>
  <c r="B25" i="2"/>
  <c r="E25" i="2" s="1"/>
  <c r="D24" i="2"/>
  <c r="C24" i="2"/>
  <c r="B24" i="2"/>
  <c r="E24" i="2" s="1"/>
  <c r="D23" i="2"/>
  <c r="C23" i="2"/>
  <c r="B23" i="2"/>
  <c r="E23" i="2" s="1"/>
  <c r="D22" i="2"/>
  <c r="C22" i="2"/>
  <c r="B22" i="2"/>
  <c r="E22" i="2" s="1"/>
  <c r="D21" i="2"/>
  <c r="C21" i="2"/>
  <c r="B21" i="2"/>
  <c r="E21" i="2" s="1"/>
  <c r="D20" i="2"/>
  <c r="C20" i="2"/>
  <c r="B20" i="2"/>
  <c r="E20" i="2" s="1"/>
  <c r="D19" i="2"/>
  <c r="C19" i="2"/>
  <c r="B19" i="2"/>
  <c r="E19" i="2" s="1"/>
  <c r="D18" i="2"/>
  <c r="C18" i="2"/>
  <c r="B18" i="2"/>
  <c r="E18" i="2" s="1"/>
  <c r="D17" i="2"/>
  <c r="C17" i="2"/>
  <c r="B17" i="2"/>
  <c r="E17" i="2" s="1"/>
  <c r="D16" i="2"/>
  <c r="C16" i="2"/>
  <c r="B16" i="2"/>
  <c r="E16" i="2" s="1"/>
  <c r="D15" i="2"/>
  <c r="C15" i="2"/>
  <c r="B15" i="2"/>
  <c r="E15" i="2" s="1"/>
  <c r="D14" i="2"/>
  <c r="C14" i="2"/>
  <c r="B14" i="2"/>
  <c r="E14" i="2" s="1"/>
  <c r="D13" i="2"/>
  <c r="D33" i="2" s="1"/>
  <c r="C13" i="2"/>
  <c r="C33" i="2" s="1"/>
  <c r="B13" i="2"/>
  <c r="B33" i="2" s="1"/>
  <c r="D8" i="2"/>
  <c r="C8" i="2"/>
  <c r="B8" i="2"/>
  <c r="E8" i="2" s="1"/>
  <c r="D7" i="2"/>
  <c r="C7" i="2"/>
  <c r="B7" i="2"/>
  <c r="E7" i="2" s="1"/>
  <c r="D6" i="2"/>
  <c r="D9" i="2" s="1"/>
  <c r="C6" i="2"/>
  <c r="C9" i="2" s="1"/>
  <c r="B6" i="2"/>
  <c r="E6" i="2" s="1"/>
  <c r="E9" i="2" s="1"/>
  <c r="E13" i="2" l="1"/>
  <c r="E33" i="2" s="1"/>
  <c r="B9" i="2"/>
</calcChain>
</file>

<file path=xl/sharedStrings.xml><?xml version="1.0" encoding="utf-8"?>
<sst xmlns="http://schemas.openxmlformats.org/spreadsheetml/2006/main" count="2460" uniqueCount="1247">
  <si>
    <t>GCC School / KC GlobEd — In-house CRM</t>
  </si>
  <si>
    <t>Scope of work split into 3 phases · priorities · user stories · v1.0 · September 2026</t>
  </si>
  <si>
    <t>What this is</t>
  </si>
  <si>
    <t>Every feature from 'Inhouse CRM Req.List_V1' (270 features, 20 modules) placed into one of three delivery phases, with a Must / Should / Could priority, the user it serves, and a plain user story. Ten features were added for the plug-and-play access model and the testing-platform link — they carry NEW-xx IDs.</t>
  </si>
  <si>
    <t>How to use it</t>
  </si>
  <si>
    <t>1. 'Phase Plan' — what each phase delivers and why.  2. 'Summary' — live counts by phase, priority and module.  3. 'Requirements' — the full list; filter by Phase or Module to build a sprint backlog.  4. 'Student Panel' — everything the candidate sees.  5. 'Roles &amp; Access' — how super admin switches features on per user.  6. 'Candidate Journey' — the agreed lead-to-interview flow mapped to features.  7. 'Open Questions' — decisions that block work.</t>
  </si>
  <si>
    <t>Priority</t>
  </si>
  <si>
    <t>Must = the phase cannot go live without it · Should (can do) = plan it into the phase, drop only under pressure · Could = nice to have, first thing to defer.</t>
  </si>
  <si>
    <t>Phase in one line each</t>
  </si>
  <si>
    <t>Phase 1 — run the agreed journey end to end for real candidates.  Phase 2 — automate, integrate the dialer and loans, and give managers proper reporting.  Phase 3 — intelligence, remarketing, mobile and optimisation.</t>
  </si>
  <si>
    <t>Access model</t>
  </si>
  <si>
    <t>Roles are not hard-coded. Super admin creates a user, then ticks the modules, menus, fields, actions and data scope that user gets. Templates (Counsellor, Team Leader, Marketing, Finance, Support, Interviewer) are just saved tick-sets — see 'Roles &amp; Access'.</t>
  </si>
  <si>
    <t>Sources used</t>
  </si>
  <si>
    <t>Inhouse CRM Req.List_V1.xlsx (the 270-feature list) · the agreed Lead-to-Interview journey (MOM 10 Sep 2026, Meritto ticket 277803) · the in-house CRM B2C requirements SOW v1.0.</t>
  </si>
  <si>
    <t>What is assumed</t>
  </si>
  <si>
    <t>Phase placement and priorities are a proposal for the tech team and leadership to confirm. Nothing here changes the feature descriptions from the V1 list — those are carried through word for word.</t>
  </si>
  <si>
    <t>Not included</t>
  </si>
  <si>
    <t>Effort estimates in person-days, costs, wireframes, database design, and B2B / placement / corporate L&amp;D scope.</t>
  </si>
  <si>
    <t>270 features from the V1 list + 10 added (NEW-xx). Filter Phase or Module to build the sprint backlog.</t>
  </si>
  <si>
    <t>ID</t>
  </si>
  <si>
    <t>Module</t>
  </si>
  <si>
    <t>Feature</t>
  </si>
  <si>
    <t>What it does (from V1 list)</t>
  </si>
  <si>
    <t>Phase</t>
  </si>
  <si>
    <t>Main user</t>
  </si>
  <si>
    <t>User story</t>
  </si>
  <si>
    <t>Frontend Timeline</t>
  </si>
  <si>
    <t>Start Date</t>
  </si>
  <si>
    <t>End Date</t>
  </si>
  <si>
    <t>Backend Timeline</t>
  </si>
  <si>
    <t>1</t>
  </si>
  <si>
    <t>Admin &amp; User Management</t>
  </si>
  <si>
    <t>User &amp; Team Management</t>
  </si>
  <si>
    <t>Create, edit, activate/deactivate and manage all CRM users and internal teams.</t>
  </si>
  <si>
    <t>Phase 1</t>
  </si>
  <si>
    <t>Must</t>
  </si>
  <si>
    <t>Super Admin</t>
  </si>
  <si>
    <t>As a super admin I want to create, edit and deactivate CRM users so that only current staff can log in.</t>
  </si>
  <si>
    <t>1st Week</t>
  </si>
  <si>
    <t>16/09/2026</t>
  </si>
  <si>
    <t>23/09/2026</t>
  </si>
  <si>
    <t>1 week</t>
  </si>
  <si>
    <t>2</t>
  </si>
  <si>
    <t>Default Role-Based Access</t>
  </si>
  <si>
    <t>Provide predefined permissions for Admin, Manager, Counsellor, Marketing, Finance, HR, Support and Tech users.</t>
  </si>
  <si>
    <t>As a super admin I want ready-made role templates (counsellor, team leader, marketing, finance) so that a new user is set up in minutes.</t>
  </si>
  <si>
    <t>3</t>
  </si>
  <si>
    <t>Custom Role-Based Access</t>
  </si>
  <si>
    <t>Allow GCC School to create custom roles with module, action and data-level permissions.</t>
  </si>
  <si>
    <t>As a super admin I want to build a custom role by ticking the modules, actions and data a user may access so that each person sees only what their job needs.</t>
  </si>
  <si>
    <t>4</t>
  </si>
  <si>
    <t>Teams &amp; Hierarchy Management</t>
  </si>
  <si>
    <t>Configure departments, reporting managers, teams, counsellor groups and organisational hierarchy.</t>
  </si>
  <si>
    <t>As a super admin I want to set up teams, reporting managers and counsellor groups so that leads and dashboards follow our hierarchy.</t>
  </si>
  <si>
    <t>5</t>
  </si>
  <si>
    <t>Data Masking</t>
  </si>
  <si>
    <t>Mask mobile, email, payment and other sensitive candidate information based on role.</t>
  </si>
  <si>
    <t>Should</t>
  </si>
  <si>
    <t>As a super admin I want to mask mobile, email and payment details for chosen roles so that candidate data is not exposed unnecessarily.</t>
  </si>
  <si>
    <t>6</t>
  </si>
  <si>
    <t>User Session &amp; Audit Log</t>
  </si>
  <si>
    <t>Track login, logout, session activity, important actions and security events.</t>
  </si>
  <si>
    <t>As a super admin I want a log of logins, sessions and key actions so that I can investigate any misuse.</t>
  </si>
  <si>
    <t>7</t>
  </si>
  <si>
    <t>Access Control by Team</t>
  </si>
  <si>
    <t>Restrict records and dashboards based on team, location, program or reporting hierarchy.</t>
  </si>
  <si>
    <t>Team Leader</t>
  </si>
  <si>
    <t>As a team leader I want my team to see only their own leads and dashboards so that data stays within the right team.</t>
  </si>
  <si>
    <t>8</t>
  </si>
  <si>
    <t>Bulk User Management</t>
  </si>
  <si>
    <t>Upload, update or deactivate multiple CRM users through bulk operations.</t>
  </si>
  <si>
    <t>Phase 2</t>
  </si>
  <si>
    <t>As a super admin I want to add or deactivate many users at once so that onboarding a new batch of counsellors is quick.</t>
  </si>
  <si>
    <t>9</t>
  </si>
  <si>
    <t>Configuration Management</t>
  </si>
  <si>
    <t>Allow authorised admins to configure stages, fields, templates, rules, notifications and business parameters.</t>
  </si>
  <si>
    <t>As a super admin I want to configure stages, fields, templates and rules myself so that small changes do not need the tech team.</t>
  </si>
  <si>
    <t>10</t>
  </si>
  <si>
    <t>Lead Management</t>
  </si>
  <si>
    <t>Multi-Source Lead Capture</t>
  </si>
  <si>
    <t>Capture leads from website, landing pages, Meta, Google, portals, referrals, channel partners, events and other approved sources.</t>
  </si>
  <si>
    <t>Marketing</t>
  </si>
  <si>
    <t>As a marketing manager I want every lead from website, Meta, Google, partners and events to land in the CRM so that nothing is lost.</t>
  </si>
  <si>
    <t>2nd Week</t>
  </si>
  <si>
    <t>24/09/2026</t>
  </si>
  <si>
    <t>2 Weeks</t>
  </si>
  <si>
    <t>11</t>
  </si>
  <si>
    <t>Multi-Step Enquiry Form</t>
  </si>
  <si>
    <t>Provide configurable multi-step forms with different fields and validations at each stage.</t>
  </si>
  <si>
    <t>As a marketing manager I want a multi-step enquiry form with different fields per step so that we ask only what is needed at each stage.</t>
  </si>
  <si>
    <t>12</t>
  </si>
  <si>
    <t>Quick Add Lead</t>
  </si>
  <si>
    <t>Allow counsellors/admins to manually create a lead from the CRM.</t>
  </si>
  <si>
    <t>Counsellor</t>
  </si>
  <si>
    <t>As a counsellor I want to add a lead manually so that walk-ins and phone enquiries are captured.</t>
  </si>
  <si>
    <t>13</t>
  </si>
  <si>
    <t>Bulk Lead Upload</t>
  </si>
  <si>
    <t>Upload large lead databases through CSV/XLSX with field mapping, validation and error reporting.</t>
  </si>
  <si>
    <t>Admin</t>
  </si>
  <si>
    <t>As an admin I want to upload a lead file with field mapping and an error report so that bulk databases load cleanly.</t>
  </si>
  <si>
    <t>14</t>
  </si>
  <si>
    <t>Bulk Lead Update</t>
  </si>
  <si>
    <t>Update owner, stage, source, tags and other permitted fields for multiple leads at once.</t>
  </si>
  <si>
    <t>As a team leader I want to update owner, stage or tags for many leads at once so that reallocation is not one by one.</t>
  </si>
  <si>
    <t>15</t>
  </si>
  <si>
    <t>Custom Fields</t>
  </si>
  <si>
    <t>Create GCC School-specific fields without requiring code changes.</t>
  </si>
  <si>
    <t>As a super admin I want to add our own fields without code so that the CRM matches how we work.</t>
  </si>
  <si>
    <t>16</t>
  </si>
  <si>
    <t>Duplicate Blocking</t>
  </si>
  <si>
    <t>Identify duplicate leads using mobile, email and other matching rules before creation.</t>
  </si>
  <si>
    <t>As an admin I want duplicates blocked on mobile and email so that two counsellors never call the same candidate.</t>
  </si>
  <si>
    <t>17</t>
  </si>
  <si>
    <t>Duplicate Merge</t>
  </si>
  <si>
    <t>Allow authorised users to merge duplicate records while preserving the complete activity history.</t>
  </si>
  <si>
    <t>As a team leader I want to merge duplicate records while keeping the full history so that the candidate has one clean profile.</t>
  </si>
  <si>
    <t>18</t>
  </si>
  <si>
    <t>Lead Verification</t>
  </si>
  <si>
    <t>Verify candidate contact details through email/OTP or configured verification methods.</t>
  </si>
  <si>
    <t>As a marketing manager I want contact details verified by OTP or email so that we spend time on real leads.</t>
  </si>
  <si>
    <t>19</t>
  </si>
  <si>
    <t>Lead Source Tracking</t>
  </si>
  <si>
    <t>Track the original and latest source of every lead throughout the lifecycle.</t>
  </si>
  <si>
    <t>As a marketing manager I want the first and latest source stored on every lead so that credit is assigned correctly.</t>
  </si>
  <si>
    <t>20</t>
  </si>
  <si>
    <t>UTM Tracking</t>
  </si>
  <si>
    <t>Capture UTM source, medium, campaign, term, content and landing-page details.</t>
  </si>
  <si>
    <t>As a marketing manager I want UTM source, medium, campaign, term, content and landing page captured so that ad spend can be judged.</t>
  </si>
  <si>
    <t>21</t>
  </si>
  <si>
    <t>Referral &amp; Partner Tracking</t>
  </si>
  <si>
    <t>Capture referral code, partner name, partner link and partner-specific attribution.</t>
  </si>
  <si>
    <t>As a marketing manager I want referral code, partner name and partner link captured so that channel partner leads are attributed.</t>
  </si>
  <si>
    <t>22</t>
  </si>
  <si>
    <t>Facebook Lead Ad Connector</t>
  </si>
  <si>
    <t>Automatically push Meta/Facebook leads into the CRM.</t>
  </si>
  <si>
    <t>As a marketing manager I want Meta lead-form leads pushed in automatically so that response time is in minutes, not hours.</t>
  </si>
  <si>
    <t>23</t>
  </si>
  <si>
    <t>Google Lead Ad Connector</t>
  </si>
  <si>
    <t>Automatically push Google lead-form leads into the CRM.</t>
  </si>
  <si>
    <t>As a marketing manager I want Google lead-form leads pushed in automatically so that both paid channels behave the same.</t>
  </si>
  <si>
    <t>24</t>
  </si>
  <si>
    <t>Other Lead Connectors</t>
  </si>
  <si>
    <t>Support additional approved lead portals, APIs and lead providers.</t>
  </si>
  <si>
    <t>Phase 3</t>
  </si>
  <si>
    <t>Could</t>
  </si>
  <si>
    <t>As a marketing manager I want other approved portals and lead providers connected so that new channels can be added later.</t>
  </si>
  <si>
    <t>25</t>
  </si>
  <si>
    <t>One-View Lead Profile</t>
  </si>
  <si>
    <t>Provide a complete 360-degree profile containing candidate details, activity, stage, payments, documents and communications.</t>
  </si>
  <si>
    <t>As a counsellor I want one profile showing details, activity, stage, payments, documents and messages so that I do not hunt across screens before a call.</t>
  </si>
  <si>
    <t>26</t>
  </si>
  <si>
    <t>Custom Tabs</t>
  </si>
  <si>
    <t>Allow additional tabs for GCC-specific candidate, finance, exam, interview, loan and admission information.</t>
  </si>
  <si>
    <t>As a super admin I want extra tabs for exam, interview, finance and loan information so that each team finds its own data.</t>
  </si>
  <si>
    <t>27</t>
  </si>
  <si>
    <t>Lead Timeline</t>
  </si>
  <si>
    <t>Display calls, WhatsApp, SMS, email, notes, tasks, payments, documents, stage changes and system events chronologically.</t>
  </si>
  <si>
    <t>As a counsellor I want a single timeline of calls, messages, payments, documents and stage changes so that I know exactly what happened before.</t>
  </si>
  <si>
    <t>28</t>
  </si>
  <si>
    <t>Lead Notes</t>
  </si>
  <si>
    <t>Allow counsellors and authorised users to record structured and free-text notes.</t>
  </si>
  <si>
    <t>As a counsellor I want to record structured and free-text notes so that the next person picks up where I left off.</t>
  </si>
  <si>
    <t>29</t>
  </si>
  <si>
    <t>Lead Tags</t>
  </si>
  <si>
    <t>Apply configurable tags for segmentation, priority, campaign and operational use.</t>
  </si>
  <si>
    <t>As a team leader I want configurable tags so that leads can be segmented for priority and campaigns.</t>
  </si>
  <si>
    <t>30</t>
  </si>
  <si>
    <t>Lead Search</t>
  </si>
  <si>
    <t>Search leads by name, mobile, email, lead ID, application number and other configured identifiers.</t>
  </si>
  <si>
    <t>As a counsellor I want to search by name, mobile, email, lead ID or application number so that I find a candidate while they are on the call.</t>
  </si>
  <si>
    <t>31</t>
  </si>
  <si>
    <t>Smart Filters &amp; Saved Views</t>
  </si>
  <si>
    <t>Allow users to save frequently used filters such as hot leads, overdue follow-ups and payment pending.</t>
  </si>
  <si>
    <t>As a counsellor I want to save filters such as hot leads and overdue follow-ups so that my working list is one click away.</t>
  </si>
  <si>
    <t>32</t>
  </si>
  <si>
    <t>Lead Export</t>
  </si>
  <si>
    <t>Export authorised lead data to Excel/CSV based on filters and permissions.</t>
  </si>
  <si>
    <t>As a team leader I want to export the leads I am allowed to see so that offline analysis is possible.</t>
  </si>
  <si>
    <t>33</t>
  </si>
  <si>
    <t>Marketing &amp; Acquisition</t>
  </si>
  <si>
    <t>Source Master</t>
  </si>
  <si>
    <t>Maintain a central master of paid, organic, referral, partner, event, portal and other lead sources.</t>
  </si>
  <si>
    <t>As a marketing manager I want one master list of sources so that reporting is consistent everywhere.</t>
  </si>
  <si>
    <t>3rd Week</t>
  </si>
  <si>
    <t>3rd  week</t>
  </si>
  <si>
    <t>34</t>
  </si>
  <si>
    <t>Channel Classification</t>
  </si>
  <si>
    <t>Group sources into standard channels such as Paid, Organic, Referral, Partner, Direct and Other.</t>
  </si>
  <si>
    <t>As a marketing manager I want sources grouped into paid, organic, referral, partner and direct so that channel performance is comparable.</t>
  </si>
  <si>
    <t>35</t>
  </si>
  <si>
    <t>Campaign Master</t>
  </si>
  <si>
    <t>Create campaigns with source, channel, program, dates, budget and campaign identifiers.</t>
  </si>
  <si>
    <t>As a marketing manager I want to create campaigns with source, program, dates and budget so that spend maps to results.</t>
  </si>
  <si>
    <t>36</t>
  </si>
  <si>
    <t>Campaign Dashboard</t>
  </si>
  <si>
    <t>Track leads, qualified leads, applications, interviews, payments and admissions by campaign.</t>
  </si>
  <si>
    <t>As a marketing manager I want a campaign dashboard showing leads through to admissions so that I can shift budget quickly.</t>
  </si>
  <si>
    <t>37</t>
  </si>
  <si>
    <t>Source Performance Report</t>
  </si>
  <si>
    <t>Compare conversion and quality across sources and campaigns.</t>
  </si>
  <si>
    <t>As a marketing manager I want a source performance report so that I know which channel brings quality, not just volume.</t>
  </si>
  <si>
    <t>38</t>
  </si>
  <si>
    <t>First-Touch Attribution</t>
  </si>
  <si>
    <t>Preserve the original source that generated the candidate.</t>
  </si>
  <si>
    <t>As a marketing manager I want the original source preserved so that later activity does not overwrite where the candidate came from.</t>
  </si>
  <si>
    <t>39</t>
  </si>
  <si>
    <t>Latest-Touch Attribution</t>
  </si>
  <si>
    <t>Capture the latest marketing interaction/source before conversion.</t>
  </si>
  <si>
    <t>As a marketing manager I want the latest touch before conversion recorded so that both attribution models are available.</t>
  </si>
  <si>
    <t>40</t>
  </si>
  <si>
    <t>UTM-to-Lead Mapping</t>
  </si>
  <si>
    <t>Store digital campaign parameters directly against the lead and application.</t>
  </si>
  <si>
    <t>As a marketing manager I want UTM values stored against lead and application so that campaign reporting runs end to end.</t>
  </si>
  <si>
    <t>41</t>
  </si>
  <si>
    <t>Landing Page Attribution</t>
  </si>
  <si>
    <t>Track which landing page/form generated each candidate.</t>
  </si>
  <si>
    <t>As a marketing manager I want to know which landing page produced each lead so that pages can be compared.</t>
  </si>
  <si>
    <t>42</t>
  </si>
  <si>
    <t>Conversion Tags Integration</t>
  </si>
  <si>
    <t>Support conversion/event tags for approved marketing platforms.</t>
  </si>
  <si>
    <t>As a marketing manager I want conversion events sent to the ad platforms so that campaigns optimise on real outcomes.</t>
  </si>
  <si>
    <t>43</t>
  </si>
  <si>
    <t>Facebook Remarketing Connector</t>
  </si>
  <si>
    <t>Send eligible audiences/events to Meta remarketing workflows.</t>
  </si>
  <si>
    <t>As a marketing manager I want remarketing audiences pushed to Meta so that warm leads can be retargeted.</t>
  </si>
  <si>
    <t>44</t>
  </si>
  <si>
    <t>Google Remarketing Connector</t>
  </si>
  <si>
    <t>Send eligible audiences/events to Google remarketing workflows.</t>
  </si>
  <si>
    <t>As a marketing manager I want remarketing audiences pushed to Google so that warm leads can be retargeted.</t>
  </si>
  <si>
    <t>45</t>
  </si>
  <si>
    <t>Audience Segmentation</t>
  </si>
  <si>
    <t>Build audiences based on source, stage, program, geography, score, payment and engagement.</t>
  </si>
  <si>
    <t>As a marketing manager I want to build audiences by source, stage, program, score and payment status so that messaging is targeted.</t>
  </si>
  <si>
    <t>46</t>
  </si>
  <si>
    <t>Inventory Classification</t>
  </si>
  <si>
    <t>Classify leads/campaign inventory according to source, campaign or business-defined buckets.</t>
  </si>
  <si>
    <t>As a marketing manager I want leads classified into business-defined buckets so that inventory is planned by campaign.</t>
  </si>
  <si>
    <t>47</t>
  </si>
  <si>
    <t>Lead Flow Algorithm</t>
  </si>
  <si>
    <t>Distribute or prioritise leads based on configurable business rules.</t>
  </si>
  <si>
    <t>As a marketing manager I want configurable rules for which leads are prioritised so that high-intent leads reach counsellors first.</t>
  </si>
  <si>
    <t>48</t>
  </si>
  <si>
    <t>Lead Verification Index</t>
  </si>
  <si>
    <t>Track verified vs unverified lead quality and verification status.</t>
  </si>
  <si>
    <t>As a marketing manager I want a verified vs unverified quality index so that lead vendors and channels can be compared fairly.</t>
  </si>
  <si>
    <t>49</t>
  </si>
  <si>
    <t>Mutually Exclusive Impact / MEI</t>
  </si>
  <si>
    <t>Measure overlap or mutually exclusive impact between campaigns/channels where required.</t>
  </si>
  <si>
    <t>As a marketing manager I want overlap between campaigns measured so that double-counted results are visible.</t>
  </si>
  <si>
    <t>50</t>
  </si>
  <si>
    <t>Marketing ROI View</t>
  </si>
  <si>
    <t>Compare campaign investment, lead volume, conversion and revenue/admission outcomes where cost data is available.</t>
  </si>
  <si>
    <t>Leadership</t>
  </si>
  <si>
    <t>As a leader I want campaign cost against conversions and admissions so that marketing ROI is clear.</t>
  </si>
  <si>
    <t>51</t>
  </si>
  <si>
    <t>Communication</t>
  </si>
  <si>
    <t>Email Communication</t>
  </si>
  <si>
    <t>Send transactional, operational and nurture emails directly from the CRM.</t>
  </si>
  <si>
    <t>As a counsellor I want to send emails from the CRM so that every message is logged against the candidate.</t>
  </si>
  <si>
    <t>4th week</t>
  </si>
  <si>
    <t>13/10/2026</t>
  </si>
  <si>
    <t>20/10/2026</t>
  </si>
  <si>
    <t>52</t>
  </si>
  <si>
    <t>Email Campaigns</t>
  </si>
  <si>
    <t>Create targeted email campaigns for candidate segments.</t>
  </si>
  <si>
    <t>As a marketing manager I want targeted email campaigns to segments so that nurture runs without manual sending.</t>
  </si>
  <si>
    <t>53</t>
  </si>
  <si>
    <t>Responsive Email Templates</t>
  </si>
  <si>
    <t>Maintain mobile-responsive email templates for all major candidate stages.</t>
  </si>
  <si>
    <t>As a marketing manager I want mobile-responsive templates for each stage so that candidates read our emails properly on phones.</t>
  </si>
  <si>
    <t>54</t>
  </si>
  <si>
    <t>Email Template Gallery</t>
  </si>
  <si>
    <t>Maintain reusable templates for admissions, payment, interview, shortlist and other communications.</t>
  </si>
  <si>
    <t>As a marketing manager I want a reusable template gallery so that teams stop rewriting the same email.</t>
  </si>
  <si>
    <t>55</t>
  </si>
  <si>
    <t>Drag &amp; Drop Email Builder</t>
  </si>
  <si>
    <t>Create email templates without development support.</t>
  </si>
  <si>
    <t>As a marketing manager I want a drag-and-drop email builder so that new templates do not need developer time.</t>
  </si>
  <si>
    <t>56</t>
  </si>
  <si>
    <t>Email Personalisation</t>
  </si>
  <si>
    <t>Insert candidate, program, counsellor and payment fields dynamically.</t>
  </si>
  <si>
    <t>As a marketing manager I want candidate, program, counsellor and payment fields merged into messages so that communication feels personal.</t>
  </si>
  <si>
    <t>57</t>
  </si>
  <si>
    <t>Email Delivery Tracking</t>
  </si>
  <si>
    <t>Track sent, delivered, bounced, opened and clicked status where supported.</t>
  </si>
  <si>
    <t>As a marketing manager I want sent, delivered, bounced, opened and clicked tracking so that email quality is measurable.</t>
  </si>
  <si>
    <t>58</t>
  </si>
  <si>
    <t>SMS Campaigns</t>
  </si>
  <si>
    <t>Send targeted SMS campaigns and transactional SMS notifications.</t>
  </si>
  <si>
    <t>As a marketing manager I want SMS campaigns and transactional SMS so that candidates without email are reached.</t>
  </si>
  <si>
    <t>59</t>
  </si>
  <si>
    <t>SMS Templates</t>
  </si>
  <si>
    <t>Maintain approved SMS templates for candidate lifecycle events.</t>
  </si>
  <si>
    <t>As a marketing manager I want DLT-approved SMS templates for lifecycle events so that messages are delivered legally.</t>
  </si>
  <si>
    <t>60</t>
  </si>
  <si>
    <t>WhatsApp One-to-One</t>
  </si>
  <si>
    <t>Allow counsellors to communicate with individual candidates through WhatsApp.</t>
  </si>
  <si>
    <t>As a counsellor I want to WhatsApp a candidate from the CRM so that the conversation stays on record.</t>
  </si>
  <si>
    <t>61</t>
  </si>
  <si>
    <t>WhatsApp Templates</t>
  </si>
  <si>
    <t>Maintain approved WhatsApp templates for automated and manual communication.</t>
  </si>
  <si>
    <t>As a marketing manager I want approved WhatsApp templates so that automated messages are compliant.</t>
  </si>
  <si>
    <t>62</t>
  </si>
  <si>
    <t>WhatsApp Automation</t>
  </si>
  <si>
    <t>Trigger WhatsApp messages based on candidate stage, source, payment or other conditions.</t>
  </si>
  <si>
    <t>As a marketing manager I want WhatsApp triggered by stage, source or payment so that follow-up does not depend on memory.</t>
  </si>
  <si>
    <t>63</t>
  </si>
  <si>
    <t>WhatsApp Bot</t>
  </si>
  <si>
    <t>Provide automated FAQ, program, callback and admissions interactions through WhatsApp.</t>
  </si>
  <si>
    <t>Support</t>
  </si>
  <si>
    <t>As a support lead I want a WhatsApp bot for FAQs and callbacks so that routine questions do not reach counsellors.</t>
  </si>
  <si>
    <t>64</t>
  </si>
  <si>
    <t>Recurring Communication</t>
  </si>
  <si>
    <t>Schedule recurring communication for defined candidate cohorts or nurture journeys.</t>
  </si>
  <si>
    <t>As a marketing manager I want recurring communication for cohorts so that long nurture journeys run on their own.</t>
  </si>
  <si>
    <t>65</t>
  </si>
  <si>
    <t>Communication Scheduler</t>
  </si>
  <si>
    <t>Schedule emails/SMS/WhatsApp for a future date and time.</t>
  </si>
  <si>
    <t>As a counsellor I want to schedule a message for later so that it lands at the right time for the candidate.</t>
  </si>
  <si>
    <t>66</t>
  </si>
  <si>
    <t>Communication History</t>
  </si>
  <si>
    <t>Store all candidate communications in the lead timeline.</t>
  </si>
  <si>
    <t>As a counsellor I want every message stored in the timeline so that I see the full conversation history.</t>
  </si>
  <si>
    <t>67</t>
  </si>
  <si>
    <t>Communication Performance Reports</t>
  </si>
  <si>
    <t>Track delivery, response, engagement and conversion performance by channel.</t>
  </si>
  <si>
    <t>As a marketing manager I want delivery and engagement by channel so that channel mix is based on evidence.</t>
  </si>
  <si>
    <t>68</t>
  </si>
  <si>
    <t>Opt-Out / Consent Management</t>
  </si>
  <si>
    <t>Record communication consent and respect opt-out preferences.</t>
  </si>
  <si>
    <t>As a super admin I want consent and opt-out recorded and respected so that we meet DPDP and TRAI obligations.</t>
  </si>
  <si>
    <t>69</t>
  </si>
  <si>
    <t>Stage-Based Communication</t>
  </si>
  <si>
    <t>Trigger predefined messages when a candidate moves between lifecycle stages.</t>
  </si>
  <si>
    <t>As a marketing manager I want automatic messages when a candidate changes stage so that every stage has a next step.</t>
  </si>
  <si>
    <t>5th week</t>
  </si>
  <si>
    <t>21/10/2026</t>
  </si>
  <si>
    <t>28/10/2026</t>
  </si>
  <si>
    <t xml:space="preserve">10 days </t>
  </si>
  <si>
    <t>70</t>
  </si>
  <si>
    <t>Source-Based Templates</t>
  </si>
  <si>
    <t>Use different communication templates for paid ads, partners, referrals and other sources.</t>
  </si>
  <si>
    <t>As a marketing manager I want different templates for paid ads and partner leads so that the two journeys read correctly.</t>
  </si>
  <si>
    <t>71</t>
  </si>
  <si>
    <t>Counsellor &amp; Sales</t>
  </si>
  <si>
    <t>Round-Robin Lead Distribution</t>
  </si>
  <si>
    <t>Automatically distribute new leads among eligible counsellors.</t>
  </si>
  <si>
    <t>As a team leader I want new leads distributed round-robin among available counsellors so that allocation is fair and instant.</t>
  </si>
  <si>
    <t>72</t>
  </si>
  <si>
    <t>Advanced Lead Distribution</t>
  </si>
  <si>
    <t>Assign leads using source, program, location, workload, availability or other business rules.</t>
  </si>
  <si>
    <t>As a team leader I want distribution by source, program, location and workload so that the right counsellor gets the right lead.</t>
  </si>
  <si>
    <t>73</t>
  </si>
  <si>
    <t>Counsellor Work Queue</t>
  </si>
  <si>
    <t>Provide each counsellor with a prioritised list of assigned leads and pending actions.</t>
  </si>
  <si>
    <t>As a counsellor I want a prioritised work queue so that I start the day knowing who to call first.</t>
  </si>
  <si>
    <t>74</t>
  </si>
  <si>
    <t>Lead Ownership</t>
  </si>
  <si>
    <t>Maintain a clear owner for every active lead.</t>
  </si>
  <si>
    <t>As a team leader I want every active lead to have one clear owner so that accountability is never in doubt.</t>
  </si>
  <si>
    <t>75</t>
  </si>
  <si>
    <t>Lead Reassignment</t>
  </si>
  <si>
    <t>Allow managers to reassign leads manually or through rules.</t>
  </si>
  <si>
    <t>As a team leader I want to reassign leads manually or by rule so that absence and attrition do not stall candidates.</t>
  </si>
  <si>
    <t>76</t>
  </si>
  <si>
    <t>First Response SLA</t>
  </si>
  <si>
    <t>Measure time from lead creation to first meaningful counsellor action.</t>
  </si>
  <si>
    <t>As a team leader I want first response time measured so that new leads are contacted quickly.</t>
  </si>
  <si>
    <t>77</t>
  </si>
  <si>
    <t>SLA Escalation</t>
  </si>
  <si>
    <t>Escalate untouched or overdue leads to managers.</t>
  </si>
  <si>
    <t>As a team leader I want untouched and overdue leads escalated to me so that nothing goes cold silently.</t>
  </si>
  <si>
    <t>78</t>
  </si>
  <si>
    <t>Click-to-Call</t>
  </si>
  <si>
    <t>Enable calling directly from the lead profile.</t>
  </si>
  <si>
    <t>As a counsellor I want to dial from the lead profile so that calling does not mean copying numbers.</t>
  </si>
  <si>
    <t>79</t>
  </si>
  <si>
    <t>Dialer Integration</t>
  </si>
  <si>
    <t>Integrate an approved dialer for outbound and inbound calling.</t>
  </si>
  <si>
    <t>As a team leader I want the dialer integrated so that calls, recordings and outcomes reach the CRM automatically.</t>
  </si>
  <si>
    <t>80</t>
  </si>
  <si>
    <t>Predictive Dialing</t>
  </si>
  <si>
    <t>Support predictive/automated dialing where enabled by the dialer.</t>
  </si>
  <si>
    <t>As a team leader I want predictive dialing so that agent idle time drops on large calling days.</t>
  </si>
  <si>
    <t>81</t>
  </si>
  <si>
    <t>Power / Campaign Dialing</t>
  </si>
  <si>
    <t>Support campaign-based calling for selected lead lists.</t>
  </si>
  <si>
    <t>As a team leader I want campaign dialing on selected lists so that a push on one cohort is easy to run.</t>
  </si>
  <si>
    <t>82</t>
  </si>
  <si>
    <t>Inbound Call Capture</t>
  </si>
  <si>
    <t>Automatically map incoming calls to the correct lead.</t>
  </si>
  <si>
    <t>As a counsellor I want incoming calls matched to the right lead so that I answer with context.</t>
  </si>
  <si>
    <t>83</t>
  </si>
  <si>
    <t>Outbound Call Capture</t>
  </si>
  <si>
    <t>Record outbound call metadata against the lead.</t>
  </si>
  <si>
    <t>As a team leader I want outbound call details recorded against the lead so that effort is visible.</t>
  </si>
  <si>
    <t>84</t>
  </si>
  <si>
    <t>Call Recording</t>
  </si>
  <si>
    <t>Store or link call recordings with role-based access.</t>
  </si>
  <si>
    <t>As a team leader I want call recordings linked with role-based access so that quality can be reviewed without exposing recordings to everyone.</t>
  </si>
  <si>
    <t>85</t>
  </si>
  <si>
    <t>Call Disposition</t>
  </si>
  <si>
    <t>Require counsellors to record call outcome and next action.</t>
  </si>
  <si>
    <t>As a counsellor I want to record the call outcome and next action so that follow-up is never guesswork.</t>
  </si>
  <si>
    <t>86</t>
  </si>
  <si>
    <t>Talk Time / Wait Time</t>
  </si>
  <si>
    <t>Capture agent talk time, wait time and other dialer productivity metrics.</t>
  </si>
  <si>
    <t>As a team leader I want talk time and wait time so that productivity can be coached with data.</t>
  </si>
  <si>
    <t>87</t>
  </si>
  <si>
    <t>Missed Call Management</t>
  </si>
  <si>
    <t>Create follow-up actions for missed inbound calls.</t>
  </si>
  <si>
    <t>As a counsellor I want missed calls to create a follow-up task so that a candidate who tried to reach us is called back.</t>
  </si>
  <si>
    <t>88</t>
  </si>
  <si>
    <t>Callback Management</t>
  </si>
  <si>
    <t>Schedule and track promised callbacks.</t>
  </si>
  <si>
    <t>As a counsellor I want to schedule and track promised callbacks so that commitments to candidates are kept.</t>
  </si>
  <si>
    <t>89</t>
  </si>
  <si>
    <t>Conversation Notes</t>
  </si>
  <si>
    <t>Record detailed counselling and candidate interaction notes.</t>
  </si>
  <si>
    <t>As a counsellor I want detailed counselling notes so that the candidate does not repeat their story to the next person.</t>
  </si>
  <si>
    <t>90</t>
  </si>
  <si>
    <t>Tasks &amp; Follow-Ups</t>
  </si>
  <si>
    <t>Create tasks for calls, meetings, documents, payments, interviews and callbacks.</t>
  </si>
  <si>
    <t>As a counsellor I want tasks for calls, documents, payments and interviews so that my pipeline manages itself.</t>
  </si>
  <si>
    <t>91</t>
  </si>
  <si>
    <t>Follow-Up Reminders</t>
  </si>
  <si>
    <t>Notify counsellors before scheduled follow-ups.</t>
  </si>
  <si>
    <t>As a counsellor I want reminders before a scheduled follow-up so that I call on time.</t>
  </si>
  <si>
    <t>92</t>
  </si>
  <si>
    <t>Overdue Follow-Up Queue</t>
  </si>
  <si>
    <t>Show all missed and overdue actions in one view.</t>
  </si>
  <si>
    <t>As a team leader I want one view of all missed and overdue actions so that slippage is caught the same day.</t>
  </si>
  <si>
    <t>93</t>
  </si>
  <si>
    <t>Smart Views</t>
  </si>
  <si>
    <t>Provide dynamic lists such as Hot Leads, New Leads, Payment Pending and Interview Pending.</t>
  </si>
  <si>
    <t>As a counsellor I want ready-made lists like hot leads and payment pending so that I work from priorities, not a full table.</t>
  </si>
  <si>
    <t>94</t>
  </si>
  <si>
    <t>Logic-Based Lead Score</t>
  </si>
  <si>
    <t>Calculate lead score using configurable candidate and engagement rules.</t>
  </si>
  <si>
    <t>As a team leader I want a configurable lead score so that effort goes where conversion is likely.</t>
  </si>
  <si>
    <t>95</t>
  </si>
  <si>
    <t>Predictive Lead Strength</t>
  </si>
  <si>
    <t>Classify leads into Hot/Warm/Cold or similar categories.</t>
  </si>
  <si>
    <t>As a team leader I want leads classified hot, warm or cold so that the queue is easy to read.</t>
  </si>
  <si>
    <t>96</t>
  </si>
  <si>
    <t>Sales Reporting</t>
  </si>
  <si>
    <t>Track counsellor productivity, connection, conversion, follow-ups and admissions.</t>
  </si>
  <si>
    <t>As a team leader I want counsellor productivity and conversion reporting so that reviews are based on numbers.</t>
  </si>
  <si>
    <t>97</t>
  </si>
  <si>
    <t>One-on-One Email</t>
  </si>
  <si>
    <t>Allow counsellors to send personalised emails from the CRM.</t>
  </si>
  <si>
    <t>As a counsellor I want to send a personalised email from the lead profile so that follow-up takes seconds.</t>
  </si>
  <si>
    <t>98</t>
  </si>
  <si>
    <t>One-on-One WhatsApp</t>
  </si>
  <si>
    <t>Allow counsellors to send personalised WhatsApp messages from the CRM.</t>
  </si>
  <si>
    <t>As a counsellor I want to send a personalised WhatsApp from the lead profile so that I reach candidates where they reply.</t>
  </si>
  <si>
    <t>99</t>
  </si>
  <si>
    <t>Real-Time Notifications</t>
  </si>
  <si>
    <t>Notify counsellors/managers about new leads, assignments, payments and urgent actions.</t>
  </si>
  <si>
    <t>As a counsellor I want instant notification of new leads and payments so that I act while intent is high.</t>
  </si>
  <si>
    <t>100</t>
  </si>
  <si>
    <t>Lead Prioritisation</t>
  </si>
  <si>
    <t>Prioritise leads using score, intent, SLA, source, stage and next action.</t>
  </si>
  <si>
    <t>As a counsellor I want my list ordered by score, SLA and next action so that the most valuable call is always on top.</t>
  </si>
  <si>
    <t>101</t>
  </si>
  <si>
    <t>Counsellor Performance Dashboard</t>
  </si>
  <si>
    <t>Show assigned leads, calls, connections, FRT, follow-ups, conversion and admissions.</t>
  </si>
  <si>
    <t>As a team leader I want a counsellor dashboard with calls, connections, follow-ups and admissions so that performance is visible daily.</t>
  </si>
  <si>
    <t>102</t>
  </si>
  <si>
    <t>Application &amp; Student Journey</t>
  </si>
  <si>
    <t>Applicant Registration</t>
  </si>
  <si>
    <t>Allow candidates to register from website, ads, partner links or other approved entry points.</t>
  </si>
  <si>
    <t>Student</t>
  </si>
  <si>
    <t>As a candidate I want to register from the website, an ad or a partner link so that I can start my application immediately.</t>
  </si>
  <si>
    <t>6th week</t>
  </si>
  <si>
    <t>29/10/2026</t>
  </si>
  <si>
    <t>103</t>
  </si>
  <si>
    <t>Email Verification</t>
  </si>
  <si>
    <t>Verify candidate email before enabling the application journey where required.</t>
  </si>
  <si>
    <t>As a candidate I want my email verified so that I receive every update about my application.</t>
  </si>
  <si>
    <t>104</t>
  </si>
  <si>
    <t>OTP Login</t>
  </si>
  <si>
    <t>Allow candidates to securely log in using OTP.</t>
  </si>
  <si>
    <t>As a candidate I want to log in with an OTP so that I do not need to remember a password.</t>
  </si>
  <si>
    <t>105</t>
  </si>
  <si>
    <t>Application Number Login</t>
  </si>
  <si>
    <t>Support application-number based login where required.</t>
  </si>
  <si>
    <t>As a candidate I want to log in with my application number so that I can return to my application easily.</t>
  </si>
  <si>
    <t>106</t>
  </si>
  <si>
    <t>Personalised Student Dashboard</t>
  </si>
  <si>
    <t>Provide each applicant with a dashboard showing application status, tasks, documents, exams, payments and communications.</t>
  </si>
  <si>
    <t>As a candidate I want a dashboard showing status, pending tasks, documents, exam and payments so that I always know where I stand.</t>
  </si>
  <si>
    <t>107</t>
  </si>
  <si>
    <t>Application Progress Tracker</t>
  </si>
  <si>
    <t>Show candidates exactly which application steps are completed, pending or blocked.</t>
  </si>
  <si>
    <t>As a candidate I want to see which steps are done, pending or blocked so that I know exactly what to do next.</t>
  </si>
  <si>
    <t>108</t>
  </si>
  <si>
    <t>Multi-Step Application Form</t>
  </si>
  <si>
    <t>Capture required personal, academic, professional and program information in structured steps.</t>
  </si>
  <si>
    <t>As a candidate I want the application split into clear steps so that a long form does not feel overwhelming.</t>
  </si>
  <si>
    <t>109</t>
  </si>
  <si>
    <t>Form Save &amp; Resume</t>
  </si>
  <si>
    <t>Allow candidates to save incomplete applications and continue later.</t>
  </si>
  <si>
    <t>As a candidate I want to save and resume my application so that I can finish it when documents are at hand.</t>
  </si>
  <si>
    <t>110</t>
  </si>
  <si>
    <t>Final Declaration &amp; Submission</t>
  </si>
  <si>
    <t>Require final declaration before the application is formally submitted.</t>
  </si>
  <si>
    <t>As a candidate I want to make a final declaration before submitting so that I confirm my information is correct.</t>
  </si>
  <si>
    <t>111</t>
  </si>
  <si>
    <t>Document Upload</t>
  </si>
  <si>
    <t>Allow candidates to upload KYC, marksheets, academic and eligibility documents.</t>
  </si>
  <si>
    <t>As a candidate I want to upload KYC and marksheets so that my eligibility can be checked.</t>
  </si>
  <si>
    <t>112</t>
  </si>
  <si>
    <t>Document Verification</t>
  </si>
  <si>
    <t>Allow authorised teams to verify, reject or request re-upload of documents.</t>
  </si>
  <si>
    <t>As an admissions officer I want to verify, reject or request re-upload of documents so that only valid records move forward.</t>
  </si>
  <si>
    <t>113</t>
  </si>
  <si>
    <t>Document Manager</t>
  </si>
  <si>
    <t>Provide single and bulk document viewing/download for authorised internal users.</t>
  </si>
  <si>
    <t>As an admissions officer I want to view and download documents singly or in bulk so that verification is fast.</t>
  </si>
  <si>
    <t>114</t>
  </si>
  <si>
    <t>Application Status</t>
  </si>
  <si>
    <t>Display current application status and next required action.</t>
  </si>
  <si>
    <t>As a candidate I want to see my application status and next required action so that I am never left guessing.</t>
  </si>
  <si>
    <t>115</t>
  </si>
  <si>
    <t>Student Timeline</t>
  </si>
  <si>
    <t>Show the candidate's complete application and admission journey in chronological order.</t>
  </si>
  <si>
    <t>As a candidate I want a timeline of my journey so that I can see everything that has happened.</t>
  </si>
  <si>
    <t>116</t>
  </si>
  <si>
    <t>Student Notifications Centre</t>
  </si>
  <si>
    <t>Provide a central place for candidate emails, SMS, WhatsApp and system alerts.</t>
  </si>
  <si>
    <t>As a candidate I want one place for all notifications so that I do not miss an update sent by email or WhatsApp.</t>
  </si>
  <si>
    <t>117</t>
  </si>
  <si>
    <t>Student Query / Support</t>
  </si>
  <si>
    <t>Allow candidates to raise queries and track their resolution.</t>
  </si>
  <si>
    <t>As a candidate I want to raise a query and track it so that my problem is not lost in a phone queue.</t>
  </si>
  <si>
    <t>118</t>
  </si>
  <si>
    <t>Profile Update</t>
  </si>
  <si>
    <t>Allow candidates to update permitted personal information before defined lock stages.</t>
  </si>
  <si>
    <t>As a candidate I want to correct my details before the lock stage so that small mistakes do not need a support call.</t>
  </si>
  <si>
    <t>119</t>
  </si>
  <si>
    <t>Program &amp; Eligibility</t>
  </si>
  <si>
    <t>Program Master</t>
  </si>
  <si>
    <t>Maintain all GCC School programs, tracks, duration, status and applicable rules.</t>
  </si>
  <si>
    <t>As a super admin I want a master of programs, tracks and durations so that every module refers to the same list.</t>
  </si>
  <si>
    <t>7th week</t>
  </si>
  <si>
    <t>13/11/2026</t>
  </si>
  <si>
    <t>1 Week</t>
  </si>
  <si>
    <t>17/11/2026</t>
  </si>
  <si>
    <t>120</t>
  </si>
  <si>
    <t>Program Interest</t>
  </si>
  <si>
    <t>Capture the program/track selected by the candidate.</t>
  </si>
  <si>
    <t>As a counsellor I want the candidate's chosen program on the record so that counselling and eligibility match their goal.</t>
  </si>
  <si>
    <t>121</t>
  </si>
  <si>
    <t>Cohort Management</t>
  </si>
  <si>
    <t>Maintain intake/cohort dates, capacity, status and program mapping.</t>
  </si>
  <si>
    <t>As an admissions officer I want cohorts with dates, capacity and program mapping so that intakes are not oversold.</t>
  </si>
  <si>
    <t>122</t>
  </si>
  <si>
    <t>Eligibility Rules</t>
  </si>
  <si>
    <t>Configure academic, document and other program eligibility criteria.</t>
  </si>
  <si>
    <t>As a super admin I want configurable eligibility rules so that criteria can change without a code release.</t>
  </si>
  <si>
    <t>123</t>
  </si>
  <si>
    <t>Eligibility Verification</t>
  </si>
  <si>
    <t>Show eligible, not eligible and pending-verification status.</t>
  </si>
  <si>
    <t>As a counsellor I want eligible, not eligible or pending shown clearly so that I counsel on facts.</t>
  </si>
  <si>
    <t>124</t>
  </si>
  <si>
    <t>Candidate Profiling</t>
  </si>
  <si>
    <t>Capture experience, academics, profile and business parameters used for evaluation.</t>
  </si>
  <si>
    <t>As a counsellor I want experience, academics and profile parameters captured so that selection is not score-only.</t>
  </si>
  <si>
    <t>125</t>
  </si>
  <si>
    <t>Custom Evaluation Fields</t>
  </si>
  <si>
    <t>Allow management to configure additional selection/evaluation fields.</t>
  </si>
  <si>
    <t>As a super admin I want to add evaluation fields so that management can refine selection criteria over time.</t>
  </si>
  <si>
    <t>126</t>
  </si>
  <si>
    <t>Examination / NFET / Aon</t>
  </si>
  <si>
    <t>NFET Payment Gate</t>
  </si>
  <si>
    <t>Unlock NFET/examination access only when the applicable payment is successfully completed.</t>
  </si>
  <si>
    <t>As an admissions officer I want exam access unlocked only after the NFET payment succeeds so that the gate cannot be bypassed.</t>
  </si>
  <si>
    <t>127</t>
  </si>
  <si>
    <t>Exam Integration</t>
  </si>
  <si>
    <t>Integrate with the applicable Aon/Merittrac examination system.</t>
  </si>
  <si>
    <t>Tech</t>
  </si>
  <si>
    <t>As a developer I want an integration with the exam system so that bookings and results flow automatically.</t>
  </si>
  <si>
    <t>128</t>
  </si>
  <si>
    <t>Exam Slot Booking</t>
  </si>
  <si>
    <t>Allow eligible candidates to select available exam slots.</t>
  </si>
  <si>
    <t>As a candidate I want to choose an exam slot so that I take the test when it suits me.</t>
  </si>
  <si>
    <t>129</t>
  </si>
  <si>
    <t>Admit Card Generation</t>
  </si>
  <si>
    <t>Generate/display examination admit-card details after slot booking.</t>
  </si>
  <si>
    <t>As a candidate I want my admit card details after booking so that I can appear without confusion.</t>
  </si>
  <si>
    <t>130</t>
  </si>
  <si>
    <t>Mock Test Access</t>
  </si>
  <si>
    <t>Provide mock/test access where applicable.</t>
  </si>
  <si>
    <t>As a candidate I want mock tests so that I know what the exam feels like before the real attempt.</t>
  </si>
  <si>
    <t>131</t>
  </si>
  <si>
    <t>Exam Completion Status</t>
  </si>
  <si>
    <t>Capture exam started, completed, missed and other statuses.</t>
  </si>
  <si>
    <t>As an admissions officer I want exam started, completed and missed statuses so that operations can act on no-shows.</t>
  </si>
  <si>
    <t>8th week</t>
  </si>
  <si>
    <t>14/11/2026</t>
  </si>
  <si>
    <t>21/11/2026</t>
  </si>
  <si>
    <t>18/11/2026</t>
  </si>
  <si>
    <t>25/11/2026</t>
  </si>
  <si>
    <t>132</t>
  </si>
  <si>
    <t>Real-Time Result Capture</t>
  </si>
  <si>
    <t>Receive examination score/result updates into the CRM.</t>
  </si>
  <si>
    <t>As a counsellor I want the score in the CRM as soon as it is available so that I can call the same day.</t>
  </si>
  <si>
    <t>133</t>
  </si>
  <si>
    <t>Exam Scorecard</t>
  </si>
  <si>
    <t>Display and store examination score details for authorised users.</t>
  </si>
  <si>
    <t>As a counsellor I want the scorecard stored on the profile so that selection discussions use one source.</t>
  </si>
  <si>
    <t>134</t>
  </si>
  <si>
    <t>Multiple Attempts</t>
  </si>
  <si>
    <t>Track multiple exam attempts against the same candidate.</t>
  </si>
  <si>
    <t>As an admissions officer I want multiple attempts tracked so that the right attempt is used for selection.</t>
  </si>
  <si>
    <t>135</t>
  </si>
  <si>
    <t>Score-Based Eligibility</t>
  </si>
  <si>
    <t>Support configurable score thresholds without making score the only selection parameter.</t>
  </si>
  <si>
    <t>As a super admin I want configurable score thresholds so that the cut-off can be tuned per cohort.</t>
  </si>
  <si>
    <t>136</t>
  </si>
  <si>
    <t>Manual Selection Override</t>
  </si>
  <si>
    <t>Allow authorised management/counsellors to evaluate candidates using overall profile and business parameters.</t>
  </si>
  <si>
    <t>As a team leader I want authorised staff to override on overall profile so that a strong candidate is not lost to one number.</t>
  </si>
  <si>
    <t>137</t>
  </si>
  <si>
    <t>Exam Reconciliation</t>
  </si>
  <si>
    <t>Provide an exception queue for missing, failed or mismatched exam data.</t>
  </si>
  <si>
    <t>As a developer I want an exception queue for missing or mismatched exam data so that failures are fixed before results are published.</t>
  </si>
  <si>
    <t>138</t>
  </si>
  <si>
    <t>Interview &amp; Selection</t>
  </si>
  <si>
    <t>Interview Scheduling</t>
  </si>
  <si>
    <t>Allow counsellors to schedule candidate interviews.</t>
  </si>
  <si>
    <t>As a counsellor I want to schedule an interview from the profile so that booking takes one step.</t>
  </si>
  <si>
    <t>139</t>
  </si>
  <si>
    <t>Interview Slot Management</t>
  </si>
  <si>
    <t>Maintain available interview slots and bookings.</t>
  </si>
  <si>
    <t>As an admissions officer I want interview slots maintained so that panels are not double-booked.</t>
  </si>
  <si>
    <t>140</t>
  </si>
  <si>
    <t>Interview Reminder</t>
  </si>
  <si>
    <t>Send automated reminders before scheduled interviews.</t>
  </si>
  <si>
    <t>As a candidate I want reminders before my interview so that I do not miss it.</t>
  </si>
  <si>
    <t>141</t>
  </si>
  <si>
    <t>Interview Attendance</t>
  </si>
  <si>
    <t>Record attended, no-show, rescheduled and cancelled status.</t>
  </si>
  <si>
    <t>As a counsellor I want attended, no-show, rescheduled and cancelled recorded so that follow-up matches reality.</t>
  </si>
  <si>
    <t>142</t>
  </si>
  <si>
    <t>Interview Evaluation</t>
  </si>
  <si>
    <t>Capture interviewer comments, ratings and selection parameters.</t>
  </si>
  <si>
    <t>Interviewer</t>
  </si>
  <si>
    <t>As an interviewer I want to record ratings and comments against set parameters so that decisions are consistent.</t>
  </si>
  <si>
    <t>143</t>
  </si>
  <si>
    <t>Shortlist / Reject</t>
  </si>
  <si>
    <t>Allow authorised users to shortlist, reject or keep candidates under review.</t>
  </si>
  <si>
    <t>As an interviewer I want to shortlist, reject or hold a candidate so that the next step is unambiguous.</t>
  </si>
  <si>
    <t>144</t>
  </si>
  <si>
    <t>Selection Status</t>
  </si>
  <si>
    <t>Maintain backend selection/shortlisting stages for management reporting.</t>
  </si>
  <si>
    <t>As a leader I want backend selection stages so that the funnel after interview is reportable.</t>
  </si>
  <si>
    <t>145</t>
  </si>
  <si>
    <t>Selection Reason</t>
  </si>
  <si>
    <t>Capture structured reason/feedback for selection or rejection.</t>
  </si>
  <si>
    <t>As an interviewer I want a structured reason for selection or rejection so that feedback and audits are possible.</t>
  </si>
  <si>
    <t>146</t>
  </si>
  <si>
    <t>Future Interview Automation</t>
  </si>
  <si>
    <t>Keep architecture ready for more advanced hiring-company/interview automation in future phases.</t>
  </si>
  <si>
    <t>As a developer I want the interview module built to extend so that hiring-partner automation can be added later.</t>
  </si>
  <si>
    <t>147</t>
  </si>
  <si>
    <t>Offer &amp; Admission</t>
  </si>
  <si>
    <t>Shortlisted Status</t>
  </si>
  <si>
    <t>Allow internal teams to mark a candidate as shortlisted/selected.</t>
  </si>
  <si>
    <t>As an admissions officer I want to mark a candidate shortlisted so that the offer process can begin.</t>
  </si>
  <si>
    <t>9th week</t>
  </si>
  <si>
    <t>22/11/2026</t>
  </si>
  <si>
    <t>29/11/2026</t>
  </si>
  <si>
    <t>26/11/2026</t>
  </si>
  <si>
    <t>148</t>
  </si>
  <si>
    <t>Offer Milestone</t>
  </si>
  <si>
    <t>Track offer issued, accepted, rejected, expired and other configured statuses.</t>
  </si>
  <si>
    <t>As an admissions officer I want offer issued, accepted, rejected and expired tracked so that pipeline after selection is clear.</t>
  </si>
  <si>
    <t>149</t>
  </si>
  <si>
    <t>Offer Acceptance</t>
  </si>
  <si>
    <t>Capture candidate acceptance and timestamp.</t>
  </si>
  <si>
    <t>As a candidate I want to accept my offer online so that my seat is confirmed without paperwork.</t>
  </si>
  <si>
    <t>150</t>
  </si>
  <si>
    <t>Offer Letter Placement</t>
  </si>
  <si>
    <t>Provide a controlled place/link for offer documentation where applicable.</t>
  </si>
  <si>
    <t>As an admissions officer I want a controlled place for offer documents so that candidates download the correct letter.</t>
  </si>
  <si>
    <t>151</t>
  </si>
  <si>
    <t>Dynamic Token Enablement</t>
  </si>
  <si>
    <t>Enable token/acceptance payment only after the configured selection milestone.</t>
  </si>
  <si>
    <t>Finance</t>
  </si>
  <si>
    <t>As a finance user I want the token payment enabled only after selection so that fees are collected in the right order.</t>
  </si>
  <si>
    <t>152</t>
  </si>
  <si>
    <t>Candidate-Specific Amount</t>
  </si>
  <si>
    <t>Allow authorised admins to configure a payment amount for an individual candidate when required.</t>
  </si>
  <si>
    <t>As a finance user I want to set an amount for an individual candidate so that approved exceptions can be handled.</t>
  </si>
  <si>
    <t>153</t>
  </si>
  <si>
    <t>Offer Communication</t>
  </si>
  <si>
    <t>Trigger offer/selection communications through approved channels.</t>
  </si>
  <si>
    <t>As a marketing manager I want offer communications triggered automatically so that selected candidates hear the same day.</t>
  </si>
  <si>
    <t>154</t>
  </si>
  <si>
    <t>Offer Expiry / Follow-Up</t>
  </si>
  <si>
    <t>Track pending acceptance and automatically trigger reminders.</t>
  </si>
  <si>
    <t>As a counsellor I want pending acceptances flagged with reminders so that offers do not lapse unnoticed.</t>
  </si>
  <si>
    <t>155</t>
  </si>
  <si>
    <t>Payment Management</t>
  </si>
  <si>
    <t>Payment Gateway Integration</t>
  </si>
  <si>
    <t>Integrate an approved payment gateway for application, token and program-fee collection.</t>
  </si>
  <si>
    <t>As a finance user I want an approved payment gateway integrated so that all fees are collected in one place.</t>
  </si>
  <si>
    <t>10th week</t>
  </si>
  <si>
    <t>30/12/2026</t>
  </si>
  <si>
    <t>156</t>
  </si>
  <si>
    <t>Application Fee Collection</t>
  </si>
  <si>
    <t>Collect configured application fees from candidates.</t>
  </si>
  <si>
    <t>As a finance user I want application fees collected so that intent is qualified early.</t>
  </si>
  <si>
    <t>157</t>
  </si>
  <si>
    <t>NFET Fee Collection</t>
  </si>
  <si>
    <t>Collect NFET/examination fees for applicable candidate journeys.</t>
  </si>
  <si>
    <t>As a finance user I want NFET fees collected so that the exam gate can open on payment.</t>
  </si>
  <si>
    <t>158</t>
  </si>
  <si>
    <t>Token / Acceptance Fee</t>
  </si>
  <si>
    <t>Collect configurable acceptance/token fees after selection.</t>
  </si>
  <si>
    <t>As a finance user I want token or acceptance fees collected after selection so that seats are held by commitment.</t>
  </si>
  <si>
    <t>159</t>
  </si>
  <si>
    <t>Program Fee Collection</t>
  </si>
  <si>
    <t>Collect final programme/admission fees after the applicable milestone.</t>
  </si>
  <si>
    <t>As a finance user I want programme fees collected after the agreed milestone so that admission is completed properly.</t>
  </si>
  <si>
    <t>160</t>
  </si>
  <si>
    <t>Dynamic Payment Enablement</t>
  </si>
  <si>
    <t>Enable specific payment options at runtime based on candidate stage/status.</t>
  </si>
  <si>
    <t>As a super admin I want payment options enabled by stage and status so that a candidate is never shown the wrong payment.</t>
  </si>
  <si>
    <t>161</t>
  </si>
  <si>
    <t>Partial Payment</t>
  </si>
  <si>
    <t>Support partial payments where approved.</t>
  </si>
  <si>
    <t>As a finance user I want partial payments where approved so that candidates are not blocked by full amounts.</t>
  </si>
  <si>
    <t>162</t>
  </si>
  <si>
    <t>Multiple Payment Stages</t>
  </si>
  <si>
    <t>Support application, token and final-fee stages with separate transactions.</t>
  </si>
  <si>
    <t>As a finance user I want application, token and final fees as separate transactions so that reconciliation is straightforward.</t>
  </si>
  <si>
    <t>163</t>
  </si>
  <si>
    <t>Installment / Payment Plan</t>
  </si>
  <si>
    <t>Support configured installment/payment-plan structures where approved.</t>
  </si>
  <si>
    <t>As a finance user I want installment plans so that approved payment structures are supported in the system.</t>
  </si>
  <si>
    <t>164</t>
  </si>
  <si>
    <t>EMI Support</t>
  </si>
  <si>
    <t>Support EMI/payment-plan options subject to gateway/business feasibility.</t>
  </si>
  <si>
    <t>As a finance user I want EMI options where the gateway supports them so that affordability is not a barrier.</t>
  </si>
  <si>
    <t>165</t>
  </si>
  <si>
    <t>Discount / Voucher Management</t>
  </si>
  <si>
    <t>Apply authorised discounts, coupons or vouchers with validity and eligibility rules.</t>
  </si>
  <si>
    <t>As a finance user I want discounts and vouchers with validity rules so that concessions are controlled and auditable.</t>
  </si>
  <si>
    <t>166</t>
  </si>
  <si>
    <t>Payment Reconciliation</t>
  </si>
  <si>
    <t>Match gateway transactions with CRM candidate/payment records.</t>
  </si>
  <si>
    <t>As a finance user I want gateway transactions matched to CRM records so that collections tie out daily.</t>
  </si>
  <si>
    <t>167</t>
  </si>
  <si>
    <t>Payment Retry</t>
  </si>
  <si>
    <t>Allow candidates to retry failed or abandoned payments.</t>
  </si>
  <si>
    <t>As a candidate I want to retry a failed payment so that a bank error does not cost me my place.</t>
  </si>
  <si>
    <t>168</t>
  </si>
  <si>
    <t>Automated Receipt</t>
  </si>
  <si>
    <t>Generate payment receipt/confirmation after successful payment.</t>
  </si>
  <si>
    <t>As a candidate I want an automatic receipt so that I have proof of payment.</t>
  </si>
  <si>
    <t>169</t>
  </si>
  <si>
    <t>Payment Communication</t>
  </si>
  <si>
    <t>Automatically send payment success, failure, pending and reminder communications.</t>
  </si>
  <si>
    <t>As a marketing manager I want payment success, failure and reminder messages sent automatically so that drop-off at payment is reduced.</t>
  </si>
  <si>
    <t>170</t>
  </si>
  <si>
    <t>Refund / Cancellation Tracking</t>
  </si>
  <si>
    <t>Record authorised refunds, reversals and cancellations.</t>
  </si>
  <si>
    <t>As a finance user I want refunds and cancellations recorded so that the books reflect reality.</t>
  </si>
  <si>
    <t>171</t>
  </si>
  <si>
    <t>Payment Dashboard</t>
  </si>
  <si>
    <t>Show pending, successful, failed, partial and outstanding payments.</t>
  </si>
  <si>
    <t>As a finance user I want a dashboard of pending, successful, failed and outstanding payments so that collection gaps are visible.</t>
  </si>
  <si>
    <t>172</t>
  </si>
  <si>
    <t>Education Loan</t>
  </si>
  <si>
    <t>Loan Application Tracking</t>
  </si>
  <si>
    <t>Track candidates who choose education-loan financing.</t>
  </si>
  <si>
    <t>As a counsellor I want candidates choosing a loan tracked so that financing does not stall admission.</t>
  </si>
  <si>
    <t>12th Week</t>
  </si>
  <si>
    <t>1 weeks</t>
  </si>
  <si>
    <t>18/12/2026</t>
  </si>
  <si>
    <t>173</t>
  </si>
  <si>
    <t>Loan Partner Master</t>
  </si>
  <si>
    <t>Maintain approved loan partners such as Credila and future partners.</t>
  </si>
  <si>
    <t>As a super admin I want a master of loan partners so that new partners can be added as we sign them.</t>
  </si>
  <si>
    <t>174</t>
  </si>
  <si>
    <t>Loan Document Submission</t>
  </si>
  <si>
    <t>Track submission of documents required for loan processing.</t>
  </si>
  <si>
    <t>As a candidate I want to see which loan documents are needed so that I submit them in one go.</t>
  </si>
  <si>
    <t>175</t>
  </si>
  <si>
    <t>Loan Login / Application ID</t>
  </si>
  <si>
    <t>Store loan application/login reference where permitted.</t>
  </si>
  <si>
    <t>As a counsellor I want the loan application reference stored so that I can follow up with the partner.</t>
  </si>
  <si>
    <t>176</t>
  </si>
  <si>
    <t>Loan Verification</t>
  </si>
  <si>
    <t>Track verification status from the loan partner.</t>
  </si>
  <si>
    <t>As a counsellor I want the partner's verification status visible so that I know where the file is stuck.</t>
  </si>
  <si>
    <t>177</t>
  </si>
  <si>
    <t>Loan Sanction</t>
  </si>
  <si>
    <t>Capture sanctioned, rejected or pending status.</t>
  </si>
  <si>
    <t>As a counsellor I want sanctioned, rejected or pending status so that admission planning is realistic.</t>
  </si>
  <si>
    <t>178</t>
  </si>
  <si>
    <t>E-Agreement Status</t>
  </si>
  <si>
    <t>Track e-agreement pending, completed or failed status.</t>
  </si>
  <si>
    <t>As an admissions officer I want e-agreement status tracked so that pending signatures are chased.</t>
  </si>
  <si>
    <t>179</t>
  </si>
  <si>
    <t>Loan Completion</t>
  </si>
  <si>
    <t>Mark the loan journey as completed after required milestones.</t>
  </si>
  <si>
    <t>As an admissions officer I want the loan journey marked complete so that the candidate can move to admission.</t>
  </si>
  <si>
    <t>180</t>
  </si>
  <si>
    <t>Loan Timeline</t>
  </si>
  <si>
    <t>Show all loan events against the student timeline.</t>
  </si>
  <si>
    <t>As a counsellor I want loan events on the student timeline so that the whole story sits in one place.</t>
  </si>
  <si>
    <t>181</t>
  </si>
  <si>
    <t>Loan-Triggered Communication</t>
  </si>
  <si>
    <t>Trigger candidate communication based on loan status conditions.</t>
  </si>
  <si>
    <t>As a marketing manager I want loan-status messages triggered automatically so that candidates are guided through financing.</t>
  </si>
  <si>
    <t>182</t>
  </si>
  <si>
    <t>Loan Integration</t>
  </si>
  <si>
    <t>Keep API/integration capability for loan-provider status updates subject to feasibility.</t>
  </si>
  <si>
    <t>As a developer I want an API hook for loan status so that partner updates arrive without manual entry.</t>
  </si>
  <si>
    <t>183</t>
  </si>
  <si>
    <t>Automation &amp; Nurturing</t>
  </si>
  <si>
    <t>Stage-Based Automation</t>
  </si>
  <si>
    <t>Trigger actions automatically when a candidate reaches a defined stage.</t>
  </si>
  <si>
    <t>As a super admin I want actions to fire when a candidate reaches a stage so that the journey moves without manual chasing.</t>
  </si>
  <si>
    <t>184</t>
  </si>
  <si>
    <t>Field-Based Automation</t>
  </si>
  <si>
    <t>Trigger actions using candidate fields, program, source or other attributes.</t>
  </si>
  <si>
    <t>As a super admin I want automation on fields, program or source so that rules can be precise.</t>
  </si>
  <si>
    <t>185</t>
  </si>
  <si>
    <t>Payment-Based Automation</t>
  </si>
  <si>
    <t>Trigger communication/tasks based on payment success, failure or pending status.</t>
  </si>
  <si>
    <t>As a finance user I want automation on payment success, failure and pending so that collection follow-up is immediate.</t>
  </si>
  <si>
    <t>186</t>
  </si>
  <si>
    <t>Source-Based Automation</t>
  </si>
  <si>
    <t>Use different workflows and templates for different lead sources.</t>
  </si>
  <si>
    <t>As a marketing manager I want separate workflows per source so that paid and partner candidates get the right journey.</t>
  </si>
  <si>
    <t>187</t>
  </si>
  <si>
    <t>Application Submitted Trigger</t>
  </si>
  <si>
    <t>Send acknowledgement and next-step communication after application submission.</t>
  </si>
  <si>
    <t>As a candidate I want an acknowledgement with next steps after I submit so that I know my application arrived.</t>
  </si>
  <si>
    <t>188</t>
  </si>
  <si>
    <t>Shortlisted Trigger</t>
  </si>
  <si>
    <t>Notify shortlisted candidates and internal teams.</t>
  </si>
  <si>
    <t>As a candidate I want to be told when I am shortlisted so that I act on the next step quickly.</t>
  </si>
  <si>
    <t>189</t>
  </si>
  <si>
    <t>Interview Trigger</t>
  </si>
  <si>
    <t>Send interview confirmation, reminder and follow-up communications.</t>
  </si>
  <si>
    <t>As a candidate I want interview confirmation, reminder and follow-up messages so that I attend prepared.</t>
  </si>
  <si>
    <t>190</t>
  </si>
  <si>
    <t>Payment Pending Trigger</t>
  </si>
  <si>
    <t>Send reminders for incomplete or pending payments.</t>
  </si>
  <si>
    <t>As a candidate I want reminders for pending payments so that I do not miss a deadline.</t>
  </si>
  <si>
    <t>191</t>
  </si>
  <si>
    <t>Payment Completed Trigger</t>
  </si>
  <si>
    <t>Send confirmation and next-step communication after payment.</t>
  </si>
  <si>
    <t>As a candidate I want confirmation and next steps after payment so that I know what happens now.</t>
  </si>
  <si>
    <t>192</t>
  </si>
  <si>
    <t>Loan Sanction Trigger</t>
  </si>
  <si>
    <t>Trigger configured communication when loan is sanctioned.</t>
  </si>
  <si>
    <t>As a candidate I want to be told when my loan is sanctioned so that I can complete admission.</t>
  </si>
  <si>
    <t>193</t>
  </si>
  <si>
    <t>E-Agreement Pending Trigger</t>
  </si>
  <si>
    <t>Trigger reminders when e-agreement remains pending.</t>
  </si>
  <si>
    <t>As an admissions officer I want reminders when an e-agreement is pending so that files close on time.</t>
  </si>
  <si>
    <t>194</t>
  </si>
  <si>
    <t>Abandoned Application Nurture</t>
  </si>
  <si>
    <t>Follow up with candidates who start but do not complete the application.</t>
  </si>
  <si>
    <t>As a marketing manager I want abandoned applications followed up automatically so that half-finished forms are recovered.</t>
  </si>
  <si>
    <t>195</t>
  </si>
  <si>
    <t>Inactive Lead Nurture</t>
  </si>
  <si>
    <t>Create controlled nurture journeys for inactive prospects.</t>
  </si>
  <si>
    <t>As a marketing manager I want nurture journeys for inactive leads so that old databases still produce admissions.</t>
  </si>
  <si>
    <t>196</t>
  </si>
  <si>
    <t>Re-engagement Campaigns</t>
  </si>
  <si>
    <t>Target old leads with approved re-engagement campaigns.</t>
  </si>
  <si>
    <t>As a marketing manager I want re-engagement campaigns on old leads so that past spend is not wasted.</t>
  </si>
  <si>
    <t>197</t>
  </si>
  <si>
    <t>Automation Rule Builder</t>
  </si>
  <si>
    <t>Allow authorised users to configure triggers, conditions, actions and templates.</t>
  </si>
  <si>
    <t>As a super admin I want to build automation rules myself with triggers, conditions and actions so that changes do not wait for a release.</t>
  </si>
  <si>
    <t>198</t>
  </si>
  <si>
    <t>Automation Logs</t>
  </si>
  <si>
    <t>Record every automated action, trigger, delivery status and failure.</t>
  </si>
  <si>
    <t>As a developer I want every automated action logged with delivery status so that failures can be traced.</t>
  </si>
  <si>
    <t>199</t>
  </si>
  <si>
    <t>Notifications</t>
  </si>
  <si>
    <t>New Lead Notification</t>
  </si>
  <si>
    <t>Notify assigned counsellors immediately when a new lead is allocated.</t>
  </si>
  <si>
    <t>As a counsellor I want to be notified the moment a lead is assigned to me so that I call while interest is fresh.</t>
  </si>
  <si>
    <t>13th Week</t>
  </si>
  <si>
    <t>13/12/2026</t>
  </si>
  <si>
    <t>16/12/2026</t>
  </si>
  <si>
    <t>23/12/2026</t>
  </si>
  <si>
    <t>200</t>
  </si>
  <si>
    <t>Lead Reassignment Notification</t>
  </si>
  <si>
    <t>Notify users when ownership changes.</t>
  </si>
  <si>
    <t>As a counsellor I want to know when ownership of my lead changes so that I do not work a lead that moved.</t>
  </si>
  <si>
    <t>201</t>
  </si>
  <si>
    <t>Task Due Notification</t>
  </si>
  <si>
    <t>Remind users of upcoming tasks and callbacks.</t>
  </si>
  <si>
    <t>As a counsellor I want task and callback reminders so that my commitments are met.</t>
  </si>
  <si>
    <t>202</t>
  </si>
  <si>
    <t>Overdue Task Alert</t>
  </si>
  <si>
    <t>Notify counsellors/managers about overdue actions.</t>
  </si>
  <si>
    <t>As a team leader I want overdue-task alerts so that I can step in before a candidate goes cold.</t>
  </si>
  <si>
    <t>203</t>
  </si>
  <si>
    <t>Payment Notification</t>
  </si>
  <si>
    <t>Notify relevant teams about successful, failed or pending payments.</t>
  </si>
  <si>
    <t>As a finance user I want payment notifications so that collection and reconciliation stay current.</t>
  </si>
  <si>
    <t>204</t>
  </si>
  <si>
    <t>Application Notification</t>
  </si>
  <si>
    <t>Notify internal teams when an application is submitted.</t>
  </si>
  <si>
    <t>As an admissions officer I want to be notified when an application is submitted so that verification starts promptly.</t>
  </si>
  <si>
    <t>205</t>
  </si>
  <si>
    <t>Interview Notification</t>
  </si>
  <si>
    <t>Notify candidate and internal teams about interview events.</t>
  </si>
  <si>
    <t>As an interviewer I want interview notifications so that my schedule is accurate.</t>
  </si>
  <si>
    <t>206</t>
  </si>
  <si>
    <t>Exam Notification</t>
  </si>
  <si>
    <t>Notify candidates about exam booking, reminders and result availability.</t>
  </si>
  <si>
    <t>As a candidate I want exam booking, reminder and result notifications so that I never miss an exam step.</t>
  </si>
  <si>
    <t>207</t>
  </si>
  <si>
    <t>Loan Notification</t>
  </si>
  <si>
    <t>Notify teams/candidates about important loan milestones.</t>
  </si>
  <si>
    <t>As a counsellor I want loan milestone notifications so that I can support the candidate at the right moment.</t>
  </si>
  <si>
    <t>208</t>
  </si>
  <si>
    <t>Admin Alerts</t>
  </si>
  <si>
    <t>Notify administrators about integration failures, data issues and system exceptions.</t>
  </si>
  <si>
    <t>As a developer I want alerts for integration failures and data issues so that problems are fixed before users notice.</t>
  </si>
  <si>
    <t>209</t>
  </si>
  <si>
    <t>Reports &amp; Analytics</t>
  </si>
  <si>
    <t>Management Dashboard</t>
  </si>
  <si>
    <t>Provide a single executive view of the complete GCC School B2C funnel.</t>
  </si>
  <si>
    <t>As a leader I want one executive view of the whole funnel so that I can run the business from a single screen.</t>
  </si>
  <si>
    <t>210</t>
  </si>
  <si>
    <t>Lead Funnel Report</t>
  </si>
  <si>
    <t>Show enquiry, verified, contacted, qualified, applied and converted lead counts.</t>
  </si>
  <si>
    <t>As a leader I want enquiry, verified, contacted, qualified, applied and converted counts so that funnel leaks are visible.</t>
  </si>
  <si>
    <t>211</t>
  </si>
  <si>
    <t>Source Conversion Report</t>
  </si>
  <si>
    <t>Compare source-wise lead-to-admission conversion.</t>
  </si>
  <si>
    <t>As a marketing manager I want source-wise lead-to-admission conversion so that budget follows what works.</t>
  </si>
  <si>
    <t>212</t>
  </si>
  <si>
    <t>UTM Performance Report</t>
  </si>
  <si>
    <t>Compare campaigns using UTM-level attribution.</t>
  </si>
  <si>
    <t>As a marketing manager I want UTM-level performance so that individual campaigns can be compared.</t>
  </si>
  <si>
    <t>213</t>
  </si>
  <si>
    <t>Campaign Performance Report</t>
  </si>
  <si>
    <t>Show campaign leads, quality, engagement, conversion and admission.</t>
  </si>
  <si>
    <t>As a marketing manager I want campaign leads, quality, conversion and admissions so that campaign decisions are evidence-based.</t>
  </si>
  <si>
    <t>214</t>
  </si>
  <si>
    <t>Counsellor Productivity Report</t>
  </si>
  <si>
    <t>Show calls, talk time, connections, follow-ups, FRT and conversions.</t>
  </si>
  <si>
    <t>As a team leader I want calls, talk time, connections, first response time and conversions per counsellor so that coaching is specific.</t>
  </si>
  <si>
    <t>215</t>
  </si>
  <si>
    <t>Dialer Performance Report</t>
  </si>
  <si>
    <t>Show inbound/outbound calls, connected, missed, talk/wait time and dispositions.</t>
  </si>
  <si>
    <t>As a team leader I want dialer performance reporting so that calling capacity is managed.</t>
  </si>
  <si>
    <t>216</t>
  </si>
  <si>
    <t>Follow-Up Report</t>
  </si>
  <si>
    <t>Show completed, pending, overdue and missed follow-ups.</t>
  </si>
  <si>
    <t>As a team leader I want completed, pending, overdue and missed follow-ups so that discipline is measurable.</t>
  </si>
  <si>
    <t>217</t>
  </si>
  <si>
    <t>Application Report</t>
  </si>
  <si>
    <t>Track application started, submitted, incomplete and completed candidates.</t>
  </si>
  <si>
    <t>As an admissions officer I want application started, incomplete and submitted counts so that drop-off points are known.</t>
  </si>
  <si>
    <t>218</t>
  </si>
  <si>
    <t>Document Verification Report</t>
  </si>
  <si>
    <t>Track document pending, verified, rejected and re-upload cases.</t>
  </si>
  <si>
    <t>As an admissions officer I want document pending, verified and rejected counts so that verification load is planned.</t>
  </si>
  <si>
    <t>219</t>
  </si>
  <si>
    <t>Exam Report</t>
  </si>
  <si>
    <t>Track payment, booking, attendance, score and eligibility.</t>
  </si>
  <si>
    <t>As an admissions officer I want exam payment, booking, attendance and score reporting so that the exam funnel is controlled.</t>
  </si>
  <si>
    <t>220</t>
  </si>
  <si>
    <t>Interview Report</t>
  </si>
  <si>
    <t>Track scheduled, attended, selected, rejected and pending interviews.</t>
  </si>
  <si>
    <t>As an admissions officer I want scheduled, attended, selected and rejected interview counts so that panels are planned.</t>
  </si>
  <si>
    <t>221</t>
  </si>
  <si>
    <t>Payment Report</t>
  </si>
  <si>
    <t>Track transaction status, collections, outstanding amounts and payment stages.</t>
  </si>
  <si>
    <t>As a finance user I want transaction status, collections and outstanding amounts so that revenue is tracked daily.</t>
  </si>
  <si>
    <t>222</t>
  </si>
  <si>
    <t>Loan Report</t>
  </si>
  <si>
    <t>Track loan applications and milestone-wise status.</t>
  </si>
  <si>
    <t>As a finance user I want loan applications by milestone so that financing pipeline is visible.</t>
  </si>
  <si>
    <t>223</t>
  </si>
  <si>
    <t>Admission Report</t>
  </si>
  <si>
    <t>Track final admissions by source, program, counsellor and cohort.</t>
  </si>
  <si>
    <t>As a leader I want admissions by source, program, counsellor and cohort so that targets are tracked where decisions are made.</t>
  </si>
  <si>
    <t>224</t>
  </si>
  <si>
    <t>Real-Time Dashboard</t>
  </si>
  <si>
    <t>Provide near real-time operational information where source integrations support it.</t>
  </si>
  <si>
    <t>As a leader I want near real-time dashboards so that exam and campaign days can be managed live.</t>
  </si>
  <si>
    <t>225</t>
  </si>
  <si>
    <t>Drill-Down Reports</t>
  </si>
  <si>
    <t>Allow users to click KPIs and open the underlying candidate list.</t>
  </si>
  <si>
    <t>As a leader I want to click a number and see the underlying candidates so that I can verify before acting.</t>
  </si>
  <si>
    <t>226</t>
  </si>
  <si>
    <t>Scheduled Reports</t>
  </si>
  <si>
    <t>Send selected reports automatically to authorised stakeholders.</t>
  </si>
  <si>
    <t>As a leader I want key reports emailed on a schedule so that reviews start with the numbers already in hand.</t>
  </si>
  <si>
    <t>227</t>
  </si>
  <si>
    <t>Excel/CSV Export</t>
  </si>
  <si>
    <t>Allow authorised users to export reports for offline analysis.</t>
  </si>
  <si>
    <t>As a team leader I want Excel and CSV export so that offline analysis and audits are possible.</t>
  </si>
  <si>
    <t>Scope summary</t>
  </si>
  <si>
    <t>Live counts from the Requirements tab — they update if rows are added or edited.</t>
  </si>
  <si>
    <t>Features by phase and priority</t>
  </si>
  <si>
    <t>Total</t>
  </si>
  <si>
    <t>Features by module</t>
  </si>
  <si>
    <t>Technology &amp; Developer</t>
  </si>
  <si>
    <t>Mobile CRM</t>
  </si>
  <si>
    <t>Support &amp; Query Management</t>
  </si>
  <si>
    <t>GCC School Candidate Journey</t>
  </si>
  <si>
    <t>Masters &amp; Data Management</t>
  </si>
  <si>
    <t>Student-panel features</t>
  </si>
  <si>
    <t>Features added beyond the V1 list</t>
  </si>
  <si>
    <t>Timings are indicative and to be confirmed with the tech team — the phase content is the decision that matters.</t>
  </si>
  <si>
    <t>Theme</t>
  </si>
  <si>
    <t>What is built</t>
  </si>
  <si>
    <t>What it means for the business</t>
  </si>
  <si>
    <t>Exit condition</t>
  </si>
  <si>
    <t>Run the journey</t>
  </si>
  <si>
    <t>Everything needed to run the agreed lead-to-interview journey for real candidates: user &amp; access setup, lead capture from ads and partners, counsellor allocation and calling basics, the student panel with application and documents, NFET payment gate with the exam link, interview, offer and the core payments, plus core notifications, reports, masters and security.</t>
  </si>
  <si>
    <t>A paid-ad lead and a partner lead can both be captured, counselled, examined, interviewed, selected and admitted entirely inside the CRM.</t>
  </si>
  <si>
    <t>Go-live on one live intake cycle.</t>
  </si>
  <si>
    <t>Automate and scale</t>
  </si>
  <si>
    <t>Marketing campaigns and attribution reporting, the full communication suite (email/SMS/WhatsApp campaigns and automation), the automation rule builder, dialer integration with call reporting, lead scoring and SLA escalation, education loan module, advanced payments (installments, discounts, refunds), document manager, support/query desk, and manager dashboards.</t>
  </si>
  <si>
    <t>Counsellors stop doing manual follow-up, managers get daily performance data, and financing is tracked in one place.</t>
  </si>
  <si>
    <t>Two cycles running with automation and no manual chasing.</t>
  </si>
  <si>
    <t>Optimise</t>
  </si>
  <si>
    <t>Predictive lead strength, remarketing connectors, marketing ROI and MEI views, real-time and scheduled reporting, WhatsApp bot, recurring nurture and re-engagement, mobile CRM, predictive and power dialing, and the remaining advanced integrations.</t>
  </si>
  <si>
    <t>Marketing spend is optimised on outcomes and the team can work away from the desk.</t>
  </si>
  <si>
    <t>Continuous improvement, not a fixed end date.</t>
  </si>
  <si>
    <t>Everything the candidate sees and does in their own panel. Sections can be switched on or off per program (NEW-09).</t>
  </si>
  <si>
    <t>What the candidate gets</t>
  </si>
  <si>
    <t>254</t>
  </si>
  <si>
    <t>Candidate Dashboard</t>
  </si>
  <si>
    <t>Provide a personalised dashboard as the common destination for candidate journeys.</t>
  </si>
  <si>
    <t>As a candidate I want one dashboard as my destination after registration so that everything I need is in one place.</t>
  </si>
  <si>
    <t>These are DEFAULT TEMPLATES, not fixed roles. Super admin can switch any line on or off for any individual user (NEW-01 to NEW-08).</t>
  </si>
  <si>
    <t>Capability</t>
  </si>
  <si>
    <t>Admissions Admin</t>
  </si>
  <si>
    <t>Manage organisation settings &amp; masters</t>
  </si>
  <si>
    <t>Full</t>
  </si>
  <si>
    <t>View</t>
  </si>
  <si>
    <t>-</t>
  </si>
  <si>
    <t>Create users &amp; set permissions</t>
  </si>
  <si>
    <t>Lead list &amp; 360 profile</t>
  </si>
  <si>
    <t>All</t>
  </si>
  <si>
    <t>Team</t>
  </si>
  <si>
    <t>Own</t>
  </si>
  <si>
    <t>All (read)</t>
  </si>
  <si>
    <t>Add / import leads</t>
  </si>
  <si>
    <t>Add only</t>
  </si>
  <si>
    <t>Import</t>
  </si>
  <si>
    <t>Reassign leads</t>
  </si>
  <si>
    <t>Call, WhatsApp, email a candidate</t>
  </si>
  <si>
    <t>Tasks &amp; follow-ups</t>
  </si>
  <si>
    <t>Campaigns, sources &amp; attribution</t>
  </si>
  <si>
    <t>Communication templates</t>
  </si>
  <si>
    <t>Automation rules</t>
  </si>
  <si>
    <t>Propose</t>
  </si>
  <si>
    <t>Application &amp; document verification</t>
  </si>
  <si>
    <t>Exam data &amp; scorecards</t>
  </si>
  <si>
    <t>Interview scheduling &amp; evaluation</t>
  </si>
  <si>
    <t>Own panel</t>
  </si>
  <si>
    <t>View own</t>
  </si>
  <si>
    <t>Shortlist / reject decision</t>
  </si>
  <si>
    <t>Recommend</t>
  </si>
  <si>
    <t>Offer issue &amp; acceptance</t>
  </si>
  <si>
    <t>Accept own</t>
  </si>
  <si>
    <t>Payments: view transactions</t>
  </si>
  <si>
    <t>Own (masked)</t>
  </si>
  <si>
    <t>Payments: configure amounts &amp; discounts</t>
  </si>
  <si>
    <t>Refunds &amp; reconciliation</t>
  </si>
  <si>
    <t>Education loan tracking</t>
  </si>
  <si>
    <t>Support tickets</t>
  </si>
  <si>
    <t>Raise own</t>
  </si>
  <si>
    <t>Reports &amp; dashboards</t>
  </si>
  <si>
    <t>Marketing set</t>
  </si>
  <si>
    <t>Finance set</t>
  </si>
  <si>
    <t>Export data</t>
  </si>
  <si>
    <t>Audit &amp; permission logs</t>
  </si>
  <si>
    <t>How the plug-and-play permission builder works</t>
  </si>
  <si>
    <t>Step</t>
  </si>
  <si>
    <t>Action</t>
  </si>
  <si>
    <t>Detail</t>
  </si>
  <si>
    <t>Create the user</t>
  </si>
  <si>
    <t>Name, email, mobile, team, reporting manager, login method.</t>
  </si>
  <si>
    <t>Pick a template or start blank</t>
  </si>
  <si>
    <t>Counsellor, Senior Counsellor, Team Leader, Marketing, Finance, Support, Interviewer — or none.</t>
  </si>
  <si>
    <t>Tick the modules</t>
  </si>
  <si>
    <t>Only ticked modules appear in that user's menu; the rest are hidden, not greyed out.</t>
  </si>
  <si>
    <t>Tick the actions</t>
  </si>
  <si>
    <t>View, create, edit, delete, export, reassign, approve — separately per module.</t>
  </si>
  <si>
    <t>Set the data scope</t>
  </si>
  <si>
    <t>Own records / team / location / program / cohort / all.</t>
  </si>
  <si>
    <t>Set field visibility</t>
  </si>
  <si>
    <t>Hide or make read-only any sensitive field, e.g. payment details or full mobile number.</t>
  </si>
  <si>
    <t>Preview and save</t>
  </si>
  <si>
    <t>See the CRM exactly as that user will see it, then save. Every change is logged.</t>
  </si>
  <si>
    <t>The agreed lead-to-interview journey (MOM 10 Sep 2026, ticket 277803). Steps ending 'a' are the paid-ads track, 'b' the channel-partner track.</t>
  </si>
  <si>
    <t>Stage</t>
  </si>
  <si>
    <t>What happens</t>
  </si>
  <si>
    <t>CRM features that deliver it</t>
  </si>
  <si>
    <t>Feature IDs</t>
  </si>
  <si>
    <t>J-01</t>
  </si>
  <si>
    <t>Lead arrives</t>
  </si>
  <si>
    <t>Paid ads lead (Meta / Google) or channel partner lead via referral link + UTM code</t>
  </si>
  <si>
    <t>Multi-source capture, UTM tracking, partner attribution, duplicate blocking</t>
  </si>
  <si>
    <t>10, 20, 21, 16, 22, 23</t>
  </si>
  <si>
    <t>J-02</t>
  </si>
  <si>
    <t>Enquiry form</t>
  </si>
  <si>
    <t>Multi-step enquiry form — long form for paid ads, short form for partner leads</t>
  </si>
  <si>
    <t>Multi-step enquiry form, custom fields, lead verification</t>
  </si>
  <si>
    <t>11, 15, 18</t>
  </si>
  <si>
    <t>J-03</t>
  </si>
  <si>
    <t>Application-success message</t>
  </si>
  <si>
    <t>Confirmation communication triggered automatically on submission</t>
  </si>
  <si>
    <t>Stage-based communication, email/SMS/WhatsApp templates</t>
  </si>
  <si>
    <t>187, 51, 59, 61</t>
  </si>
  <si>
    <t>J-04</t>
  </si>
  <si>
    <t>Dashboard credentials</t>
  </si>
  <si>
    <t>Login details shared with the candidate</t>
  </si>
  <si>
    <t>OTP login, application number login, automated communication</t>
  </si>
  <si>
    <t>104, 105, 199</t>
  </si>
  <si>
    <t>J-05</t>
  </si>
  <si>
    <t>Candidate dashboard</t>
  </si>
  <si>
    <t>Candidate lands on a personalised dashboard — the common destination for both tracks</t>
  </si>
  <si>
    <t>Personalised student dashboard, progress tracker</t>
  </si>
  <si>
    <t>106, 107, 254</t>
  </si>
  <si>
    <t>J-06a</t>
  </si>
  <si>
    <t>Paid ads track — full application</t>
  </si>
  <si>
    <t>~17-section application form; no NFET in the initial journey</t>
  </si>
  <si>
    <t>Multi-step application form, save &amp; resume, final declaration</t>
  </si>
  <si>
    <t>108, 109, 110, 251</t>
  </si>
  <si>
    <t>J-06b</t>
  </si>
  <si>
    <t>Partner track — personal info + NFET fee</t>
  </si>
  <si>
    <t>Personal information, then NFET fee payment</t>
  </si>
  <si>
    <t>NFET fee collection, dynamic payment enablement, payment retry</t>
  </si>
  <si>
    <t>157, 160, 167, 252</t>
  </si>
  <si>
    <t>J-07b</t>
  </si>
  <si>
    <t>Exam unlocked</t>
  </si>
  <si>
    <t>Aon exam unlocked after payment — slot booking and mock tests inside the dashboard</t>
  </si>
  <si>
    <t>NFET payment gate, exam integration, slot booking, mock test</t>
  </si>
  <si>
    <t>126, 127, 128, 130</t>
  </si>
  <si>
    <t>J-08b</t>
  </si>
  <si>
    <t>Exam completed</t>
  </si>
  <si>
    <t>Score captured in the CRM in real time</t>
  </si>
  <si>
    <t>Exam completion status, real-time result capture, scorecard</t>
  </si>
  <si>
    <t>131, 132, 133</t>
  </si>
  <si>
    <t>J-09b</t>
  </si>
  <si>
    <t>Counsellor review</t>
  </si>
  <si>
    <t>Counsellor reviews the candidate on score plus profile</t>
  </si>
  <si>
    <t>Score-based eligibility, manual override, candidate profiling</t>
  </si>
  <si>
    <t>135, 136, 124</t>
  </si>
  <si>
    <t>J-10a</t>
  </si>
  <si>
    <t>Document upload &amp; KYC</t>
  </si>
  <si>
    <t>Marksheets and KYC uploaded, eligibility checked</t>
  </si>
  <si>
    <t>Document upload, document verification, eligibility verification</t>
  </si>
  <si>
    <t>111, 112, 123</t>
  </si>
  <si>
    <t>J-11</t>
  </si>
  <si>
    <t>Counsellor assignment</t>
  </si>
  <si>
    <t>Round-robin assignment in the CRM</t>
  </si>
  <si>
    <t>Round-robin distribution, ownership, new lead notification</t>
  </si>
  <si>
    <t>71, 74, 199, 256</t>
  </si>
  <si>
    <t>J-12</t>
  </si>
  <si>
    <t>Counsellor connects</t>
  </si>
  <si>
    <t>Counsellor calls, counsels and schedules the interview</t>
  </si>
  <si>
    <t>Click-to-call, disposition, tasks, interview scheduling</t>
  </si>
  <si>
    <t>78, 85, 90, 138</t>
  </si>
  <si>
    <t>J-13</t>
  </si>
  <si>
    <t>Interview &amp; selection</t>
  </si>
  <si>
    <t>Interview conducted and decided manually by GCC School</t>
  </si>
  <si>
    <t>Interview evaluation, shortlist/reject, selection reason</t>
  </si>
  <si>
    <t>142, 143, 145</t>
  </si>
  <si>
    <t>J-14</t>
  </si>
  <si>
    <t>Offer &amp; token</t>
  </si>
  <si>
    <t>Offer issued and accepted; token payment enabled after selection</t>
  </si>
  <si>
    <t>Offer milestone, acceptance, dynamic token enablement</t>
  </si>
  <si>
    <t>148, 149, 151</t>
  </si>
  <si>
    <t>J-15</t>
  </si>
  <si>
    <t>Admission &amp; loan</t>
  </si>
  <si>
    <t>Programme fee or education loan, then final admission status</t>
  </si>
  <si>
    <t>Programme fee, loan tracking, final admission status</t>
  </si>
  <si>
    <t>159, 172, 177, 259</t>
  </si>
  <si>
    <t>Question</t>
  </si>
  <si>
    <t>Why it matters</t>
  </si>
  <si>
    <t>Owner</t>
  </si>
  <si>
    <t>Needed by</t>
  </si>
  <si>
    <t>Q-01</t>
  </si>
  <si>
    <t>Is the existing Meritto instance replaced, or does the in-house CRM run alongside it first?</t>
  </si>
  <si>
    <t>Decides migration scope, data porting and go-live risk</t>
  </si>
  <si>
    <t>Before Phase 1 build</t>
  </si>
  <si>
    <t>Q-02</t>
  </si>
  <si>
    <t>Do paid-ad candidates ever take the NFET later in the journey?</t>
  </si>
  <si>
    <t>The agreed flow says no NFET in the initial journey — the stage model depends on it</t>
  </si>
  <si>
    <t>Product Owner</t>
  </si>
  <si>
    <t>Phase 1 design</t>
  </si>
  <si>
    <t>Q-03</t>
  </si>
  <si>
    <t>Which payment gateway, and who owns the merchant account?</t>
  </si>
  <si>
    <t>Blocks the NFET fee gate, the core of the partner track</t>
  </si>
  <si>
    <t>Phase 1 sprint 2</t>
  </si>
  <si>
    <t>Q-04</t>
  </si>
  <si>
    <t>Aon / Merittrac integration: API or file exchange, and who provides credentials?</t>
  </si>
  <si>
    <t>Determines whether results are real-time or batch</t>
  </si>
  <si>
    <t>Tech Lead</t>
  </si>
  <si>
    <t>Q-05</t>
  </si>
  <si>
    <t>Which dialer, and is it integrated in Phase 1 or Phase 2?</t>
  </si>
  <si>
    <t>Call capture, recordings and productivity reporting depend on it</t>
  </si>
  <si>
    <t>Inside Sales head</t>
  </si>
  <si>
    <t>Phase 1 gate</t>
  </si>
  <si>
    <t>Q-06</t>
  </si>
  <si>
    <t>What are the exact lead stages and dispositions we will use?</t>
  </si>
  <si>
    <t>Every report, automation and dashboard is built on this list</t>
  </si>
  <si>
    <t>Phase 1 sprint 1</t>
  </si>
  <si>
    <t>Q-07</t>
  </si>
  <si>
    <t>Round-robin rules: pure rotation, or weighted by workload, language or program?</t>
  </si>
  <si>
    <t>Changes the distribution engine design</t>
  </si>
  <si>
    <t>Q-08</t>
  </si>
  <si>
    <t>Which fields must be masked, and from which roles?</t>
  </si>
  <si>
    <t>Drives the field-level permission build and DPDP posture</t>
  </si>
  <si>
    <t>Legal + Super Admin</t>
  </si>
  <si>
    <t>Q-09</t>
  </si>
  <si>
    <t>WhatsApp: which BSP, and are templates already approved?</t>
  </si>
  <si>
    <t>Approval lead times can delay automation in Phase 2</t>
  </si>
  <si>
    <t>Q-10</t>
  </si>
  <si>
    <t>Loan partners at launch — Credila only, or more?</t>
  </si>
  <si>
    <t>Sizes the Phase 2 loan module</t>
  </si>
  <si>
    <t>Phase 2 start</t>
  </si>
  <si>
    <t>Q-11</t>
  </si>
  <si>
    <t>How long do we retain call recordings, documents and candidate data?</t>
  </si>
  <si>
    <t>DPDP retention and storage cost</t>
  </si>
  <si>
    <t>Legal</t>
  </si>
  <si>
    <t>Q-12</t>
  </si>
  <si>
    <t>Is the mobile CRM a responsive web app or a native app?</t>
  </si>
  <si>
    <t>Phase 3 effort differs sharply between the two</t>
  </si>
  <si>
    <t>Phase 2 end</t>
  </si>
  <si>
    <t>Q-13</t>
  </si>
  <si>
    <t>Who is the named Product Owner for day-to-day decisions?</t>
  </si>
  <si>
    <t>Sprint pace depends on someone answering these questions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</si>
</sst>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8"/>
      <color rgb="FF57448E"/>
      <name val="Arial"/>
      <charset val="1"/>
    </font>
    <font>
      <sz val="11"/>
      <color rgb="FF4A4563"/>
      <name val="Arial"/>
      <charset val="1"/>
    </font>
    <font>
      <b/>
      <sz val="10"/>
      <color rgb="FF57448E"/>
      <name val="Arial"/>
      <charset val="1"/>
    </font>
    <font>
      <sz val="9.5"/>
      <color rgb="FF262233"/>
      <name val="Arial"/>
      <charset val="1"/>
    </font>
    <font>
      <b/>
      <sz val="16"/>
      <color rgb="FF1E1A33"/>
      <name val="Arial"/>
      <charset val="1"/>
    </font>
    <font>
      <i/>
      <sz val="9.5"/>
      <color rgb="FF6B6683"/>
      <name val="Arial"/>
      <charset val="1"/>
    </font>
    <font>
      <b/>
      <sz val="11"/>
      <color rgb="FF57448E"/>
      <name val="Arial"/>
      <charset val="1"/>
    </font>
    <font>
      <b/>
      <sz val="10.5"/>
      <color rgb="FFFFFFFF"/>
      <name val="Arial"/>
      <charset val="1"/>
    </font>
    <font>
      <b/>
      <sz val="9.5"/>
      <color rgb="FF1E1A33"/>
      <name val="Arial"/>
      <charset val="1"/>
    </font>
    <font>
      <b/>
      <sz val="9.5"/>
      <color rgb="FFFFFFFF"/>
      <name val="Arial"/>
      <charset val="1"/>
    </font>
    <font>
      <sz val="9.5"/>
      <color rgb="FF262233"/>
      <name val="Arial"/>
    </font>
    <font>
      <b/>
      <sz val="10.5"/>
      <color rgb="FFFFFFFF"/>
      <name val="Arial"/>
    </font>
    <font>
      <sz val="11"/>
      <color rgb="FF000000"/>
      <name val="Calibri"/>
      <charset val="1"/>
    </font>
  </fonts>
  <fills count="7">
    <fill>
      <patternFill patternType="none"/>
    </fill>
    <fill>
      <patternFill patternType="gray125"/>
    </fill>
    <fill>
      <patternFill patternType="solid">
        <fgColor rgb="FF57448E"/>
        <bgColor rgb="FF4A3A7C"/>
      </patternFill>
    </fill>
    <fill>
      <patternFill patternType="solid">
        <fgColor rgb="FFE7E2F4"/>
        <bgColor rgb="FFEDEBF0"/>
      </patternFill>
    </fill>
    <fill>
      <patternFill patternType="solid">
        <fgColor rgb="FFF5F3FA"/>
        <bgColor rgb="FFEDEBF0"/>
      </patternFill>
    </fill>
    <fill>
      <patternFill patternType="solid">
        <fgColor rgb="FFFDF0DC"/>
        <bgColor rgb="FFF5F3FA"/>
      </patternFill>
    </fill>
    <fill>
      <patternFill patternType="solid">
        <fgColor rgb="FFEDEBF0"/>
        <bgColor rgb="FFE7E2F4"/>
      </patternFill>
    </fill>
  </fills>
  <borders count="3">
    <border>
      <left/>
      <right/>
      <top/>
      <bottom/>
      <diagonal/>
    </border>
    <border>
      <left/>
      <right/>
      <top/>
      <bottom style="thin">
        <color rgb="FFD8D3E6"/>
      </bottom>
      <diagonal/>
    </border>
    <border>
      <left/>
      <right/>
      <top style="thin">
        <color rgb="FFD8D3E6"/>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xf numFmtId="0" fontId="8" fillId="2" borderId="0" xfId="0" applyFont="1" applyFill="1"/>
    <xf numFmtId="0" fontId="4" fillId="0" borderId="0" xfId="0" applyFont="1"/>
    <xf numFmtId="0" fontId="9" fillId="0" borderId="0" xfId="0" applyFont="1"/>
    <xf numFmtId="0" fontId="8" fillId="2" borderId="0" xfId="0" applyFont="1" applyFill="1" applyAlignment="1">
      <alignment vertical="center" wrapText="1"/>
    </xf>
    <xf numFmtId="0" fontId="9" fillId="0" borderId="1" xfId="0" applyFont="1" applyBorder="1" applyAlignment="1">
      <alignment vertical="top" wrapText="1"/>
    </xf>
    <xf numFmtId="0" fontId="4" fillId="0" borderId="1" xfId="0" applyFont="1" applyBorder="1" applyAlignment="1">
      <alignment vertical="top" wrapText="1"/>
    </xf>
    <xf numFmtId="0" fontId="9" fillId="3"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9" fillId="4" borderId="1" xfId="0" applyFont="1" applyFill="1" applyBorder="1" applyAlignment="1">
      <alignment vertical="top" wrapText="1"/>
    </xf>
    <xf numFmtId="0" fontId="4" fillId="4" borderId="1" xfId="0" applyFont="1" applyFill="1" applyBorder="1" applyAlignment="1">
      <alignment vertical="top" wrapText="1"/>
    </xf>
    <xf numFmtId="0" fontId="4" fillId="0" borderId="1" xfId="0" applyFont="1" applyBorder="1" applyAlignment="1">
      <alignment horizontal="center" vertical="top" wrapText="1"/>
    </xf>
    <xf numFmtId="0" fontId="9" fillId="5"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12" fillId="2" borderId="0" xfId="0" applyFont="1" applyFill="1" applyAlignment="1">
      <alignment vertical="center" wrapText="1"/>
    </xf>
    <xf numFmtId="14" fontId="0" fillId="0" borderId="0" xfId="0" applyNumberForma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0" fontId="11" fillId="4" borderId="2"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13" fillId="0" borderId="0" xfId="0" applyFont="1" applyAlignment="1">
      <alignment horizontal="center" vertical="center"/>
    </xf>
    <xf numFmtId="14" fontId="13"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3775A"/>
      <rgbColor rgb="FFC0C0C0"/>
      <rgbColor rgb="FF808080"/>
      <rgbColor rgb="FF9999FF"/>
      <rgbColor rgb="FF57448E"/>
      <rgbColor rgb="FFFDF0DC"/>
      <rgbColor rgb="FFEDEBF0"/>
      <rgbColor rgb="FF660066"/>
      <rgbColor rgb="FFFF8080"/>
      <rgbColor rgb="FF0066CC"/>
      <rgbColor rgb="FFD8D3E6"/>
      <rgbColor rgb="FF000080"/>
      <rgbColor rgb="FFFF00FF"/>
      <rgbColor rgb="FFFFFF00"/>
      <rgbColor rgb="FF00FFFF"/>
      <rgbColor rgb="FF800080"/>
      <rgbColor rgb="FF800000"/>
      <rgbColor rgb="FF008080"/>
      <rgbColor rgb="FF0000FF"/>
      <rgbColor rgb="FF00CCFF"/>
      <rgbColor rgb="FFF5F3FA"/>
      <rgbColor rgb="FFE7E2F4"/>
      <rgbColor rgb="FFFFFF99"/>
      <rgbColor rgb="FF99CCFF"/>
      <rgbColor rgb="FFFF99CC"/>
      <rgbColor rgb="FFCC99FF"/>
      <rgbColor rgb="FFFFCC99"/>
      <rgbColor rgb="FF3366FF"/>
      <rgbColor rgb="FF33CCCC"/>
      <rgbColor rgb="FF99CC00"/>
      <rgbColor rgb="FFFFCC00"/>
      <rgbColor rgb="FFF1A63E"/>
      <rgbColor rgb="FFFF6600"/>
      <rgbColor rgb="FF6B6683"/>
      <rgbColor rgb="FF969696"/>
      <rgbColor rgb="FF4A4563"/>
      <rgbColor rgb="FF339966"/>
      <rgbColor rgb="FF003300"/>
      <rgbColor rgb="FF1E1A33"/>
      <rgbColor rgb="FF993300"/>
      <rgbColor rgb="FF993366"/>
      <rgbColor rgb="FF4A3A7C"/>
      <rgbColor rgb="FF2622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A63E"/>
  </sheetPr>
  <dimension ref="A1:B11"/>
  <sheetViews>
    <sheetView topLeftCell="A11" zoomScaleNormal="100" workbookViewId="0"/>
  </sheetViews>
  <sheetFormatPr defaultColWidth="8.7109375" defaultRowHeight="15"/>
  <cols>
    <col min="1" max="1" width="22" customWidth="1"/>
    <col min="2" max="2" width="115" customWidth="1"/>
  </cols>
  <sheetData>
    <row r="1" spans="1:2" ht="23.25">
      <c r="A1" s="1" t="s">
        <v>0</v>
      </c>
    </row>
    <row r="2" spans="1:2">
      <c r="A2" s="2" t="s">
        <v>1</v>
      </c>
    </row>
    <row r="4" spans="1:2" ht="39" customHeight="1">
      <c r="A4" s="3" t="s">
        <v>2</v>
      </c>
      <c r="B4" s="4" t="s">
        <v>3</v>
      </c>
    </row>
    <row r="5" spans="1:2" ht="64.5" customHeight="1">
      <c r="A5" s="3" t="s">
        <v>4</v>
      </c>
      <c r="B5" s="4" t="s">
        <v>5</v>
      </c>
    </row>
    <row r="6" spans="1:2" ht="25.5" customHeight="1">
      <c r="A6" s="3" t="s">
        <v>6</v>
      </c>
      <c r="B6" s="4" t="s">
        <v>7</v>
      </c>
    </row>
    <row r="7" spans="1:2" ht="39" customHeight="1">
      <c r="A7" s="3" t="s">
        <v>8</v>
      </c>
      <c r="B7" s="4" t="s">
        <v>9</v>
      </c>
    </row>
    <row r="8" spans="1:2" ht="39" customHeight="1">
      <c r="A8" s="3" t="s">
        <v>10</v>
      </c>
      <c r="B8" s="4" t="s">
        <v>11</v>
      </c>
    </row>
    <row r="9" spans="1:2" ht="25.5" customHeight="1">
      <c r="A9" s="3" t="s">
        <v>12</v>
      </c>
      <c r="B9" s="4" t="s">
        <v>13</v>
      </c>
    </row>
    <row r="10" spans="1:2" ht="25.5" customHeight="1">
      <c r="A10" s="3" t="s">
        <v>14</v>
      </c>
      <c r="B10" s="4" t="s">
        <v>15</v>
      </c>
    </row>
    <row r="11" spans="1:2" ht="25.5" customHeight="1">
      <c r="A11" s="3" t="s">
        <v>16</v>
      </c>
      <c r="B11" s="4"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57448E"/>
  </sheetPr>
  <dimension ref="A1:N229"/>
  <sheetViews>
    <sheetView tabSelected="1" zoomScaleNormal="100" workbookViewId="0">
      <pane xSplit="2" topLeftCell="C1" activePane="topRight" state="frozen"/>
      <selection pane="topRight" activeCell="I201" sqref="I201"/>
      <selection activeCell="A3" sqref="A3"/>
    </sheetView>
  </sheetViews>
  <sheetFormatPr defaultColWidth="8.7109375" defaultRowHeight="15"/>
  <cols>
    <col min="1" max="1" width="8" customWidth="1"/>
    <col min="2" max="2" width="24" customWidth="1"/>
    <col min="3" max="3" width="26" customWidth="1"/>
    <col min="4" max="4" width="52" customWidth="1"/>
    <col min="5" max="6" width="10" customWidth="1"/>
    <col min="7" max="7" width="14" customWidth="1"/>
    <col min="8" max="8" width="62" customWidth="1"/>
    <col min="9" max="11" width="19.85546875" customWidth="1"/>
    <col min="12" max="12" width="34.42578125" customWidth="1"/>
    <col min="13" max="13" width="15.42578125" customWidth="1"/>
    <col min="14" max="14" width="18.140625" customWidth="1"/>
    <col min="15" max="15" width="19.5703125" customWidth="1"/>
    <col min="16" max="16" width="19.7109375" customWidth="1"/>
  </cols>
  <sheetData>
    <row r="1" spans="1:14" ht="16.5" customHeight="1">
      <c r="A1" s="6" t="s">
        <v>18</v>
      </c>
    </row>
    <row r="2" spans="1:14" ht="27.75" customHeight="1">
      <c r="A2" s="11" t="s">
        <v>19</v>
      </c>
      <c r="B2" s="11" t="s">
        <v>20</v>
      </c>
      <c r="C2" s="11" t="s">
        <v>21</v>
      </c>
      <c r="D2" s="11" t="s">
        <v>22</v>
      </c>
      <c r="E2" s="11" t="s">
        <v>23</v>
      </c>
      <c r="F2" s="11" t="s">
        <v>6</v>
      </c>
      <c r="G2" s="11" t="s">
        <v>24</v>
      </c>
      <c r="H2" s="11" t="s">
        <v>25</v>
      </c>
      <c r="I2" s="11" t="s">
        <v>26</v>
      </c>
      <c r="J2" s="11" t="s">
        <v>27</v>
      </c>
      <c r="K2" s="11" t="s">
        <v>28</v>
      </c>
      <c r="L2" s="11" t="s">
        <v>29</v>
      </c>
      <c r="M2" s="22" t="s">
        <v>27</v>
      </c>
      <c r="N2" s="22" t="s">
        <v>28</v>
      </c>
    </row>
    <row r="3" spans="1:14" ht="24">
      <c r="A3" s="12" t="s">
        <v>30</v>
      </c>
      <c r="B3" s="25" t="s">
        <v>31</v>
      </c>
      <c r="C3" s="13" t="s">
        <v>32</v>
      </c>
      <c r="D3" s="13" t="s">
        <v>33</v>
      </c>
      <c r="E3" s="14" t="s">
        <v>34</v>
      </c>
      <c r="F3" s="15" t="s">
        <v>35</v>
      </c>
      <c r="G3" s="13" t="s">
        <v>36</v>
      </c>
      <c r="H3" s="13" t="s">
        <v>37</v>
      </c>
      <c r="I3" s="24" t="s">
        <v>38</v>
      </c>
      <c r="J3" s="24" t="s">
        <v>39</v>
      </c>
      <c r="K3" s="24" t="s">
        <v>40</v>
      </c>
      <c r="L3" s="24" t="s">
        <v>41</v>
      </c>
      <c r="M3" s="24" t="s">
        <v>39</v>
      </c>
      <c r="N3" s="24" t="s">
        <v>40</v>
      </c>
    </row>
    <row r="4" spans="1:14" ht="24">
      <c r="A4" s="16" t="s">
        <v>42</v>
      </c>
      <c r="B4" s="25"/>
      <c r="C4" s="17" t="s">
        <v>43</v>
      </c>
      <c r="D4" s="17" t="s">
        <v>44</v>
      </c>
      <c r="E4" s="14" t="s">
        <v>34</v>
      </c>
      <c r="F4" s="15" t="s">
        <v>35</v>
      </c>
      <c r="G4" s="17" t="s">
        <v>36</v>
      </c>
      <c r="H4" s="17" t="s">
        <v>45</v>
      </c>
      <c r="I4" s="24"/>
      <c r="J4" s="24"/>
      <c r="K4" s="24"/>
      <c r="L4" s="24"/>
      <c r="M4" s="24"/>
      <c r="N4" s="24"/>
    </row>
    <row r="5" spans="1:14" ht="36">
      <c r="A5" s="12" t="s">
        <v>46</v>
      </c>
      <c r="B5" s="25"/>
      <c r="C5" s="13" t="s">
        <v>47</v>
      </c>
      <c r="D5" s="13" t="s">
        <v>48</v>
      </c>
      <c r="E5" s="14" t="s">
        <v>34</v>
      </c>
      <c r="F5" s="15" t="s">
        <v>35</v>
      </c>
      <c r="G5" s="13" t="s">
        <v>36</v>
      </c>
      <c r="H5" s="13" t="s">
        <v>49</v>
      </c>
      <c r="I5" s="24"/>
      <c r="J5" s="24"/>
      <c r="K5" s="24"/>
      <c r="L5" s="24"/>
      <c r="M5" s="24"/>
      <c r="N5" s="24"/>
    </row>
    <row r="6" spans="1:14" ht="24">
      <c r="A6" s="16" t="s">
        <v>50</v>
      </c>
      <c r="B6" s="25"/>
      <c r="C6" s="17" t="s">
        <v>51</v>
      </c>
      <c r="D6" s="17" t="s">
        <v>52</v>
      </c>
      <c r="E6" s="14" t="s">
        <v>34</v>
      </c>
      <c r="F6" s="15" t="s">
        <v>35</v>
      </c>
      <c r="G6" s="17" t="s">
        <v>36</v>
      </c>
      <c r="H6" s="17" t="s">
        <v>53</v>
      </c>
      <c r="I6" s="24"/>
      <c r="J6" s="24"/>
      <c r="K6" s="24"/>
      <c r="L6" s="24"/>
      <c r="M6" s="24"/>
      <c r="N6" s="24"/>
    </row>
    <row r="7" spans="1:14" ht="24">
      <c r="A7" s="12" t="s">
        <v>54</v>
      </c>
      <c r="B7" s="25"/>
      <c r="C7" s="13" t="s">
        <v>55</v>
      </c>
      <c r="D7" s="13" t="s">
        <v>56</v>
      </c>
      <c r="E7" s="14" t="s">
        <v>34</v>
      </c>
      <c r="F7" s="18" t="s">
        <v>57</v>
      </c>
      <c r="G7" s="13" t="s">
        <v>36</v>
      </c>
      <c r="H7" s="13" t="s">
        <v>58</v>
      </c>
      <c r="I7" s="24"/>
      <c r="J7" s="24"/>
      <c r="K7" s="24"/>
      <c r="L7" s="24"/>
      <c r="M7" s="24"/>
      <c r="N7" s="24"/>
    </row>
    <row r="8" spans="1:14" ht="24">
      <c r="A8" s="16" t="s">
        <v>59</v>
      </c>
      <c r="B8" s="25"/>
      <c r="C8" s="17" t="s">
        <v>60</v>
      </c>
      <c r="D8" s="17" t="s">
        <v>61</v>
      </c>
      <c r="E8" s="14" t="s">
        <v>34</v>
      </c>
      <c r="F8" s="15" t="s">
        <v>35</v>
      </c>
      <c r="G8" s="17" t="s">
        <v>36</v>
      </c>
      <c r="H8" s="17" t="s">
        <v>62</v>
      </c>
      <c r="I8" s="24"/>
      <c r="J8" s="24"/>
      <c r="K8" s="24"/>
      <c r="L8" s="24"/>
      <c r="M8" s="24"/>
      <c r="N8" s="24"/>
    </row>
    <row r="9" spans="1:14" ht="24">
      <c r="A9" s="12" t="s">
        <v>63</v>
      </c>
      <c r="B9" s="25"/>
      <c r="C9" s="13" t="s">
        <v>64</v>
      </c>
      <c r="D9" s="13" t="s">
        <v>65</v>
      </c>
      <c r="E9" s="14" t="s">
        <v>34</v>
      </c>
      <c r="F9" s="15" t="s">
        <v>35</v>
      </c>
      <c r="G9" s="13" t="s">
        <v>66</v>
      </c>
      <c r="H9" s="13" t="s">
        <v>67</v>
      </c>
      <c r="I9" s="24"/>
      <c r="J9" s="24"/>
      <c r="K9" s="24"/>
      <c r="L9" s="24"/>
      <c r="M9" s="24"/>
      <c r="N9" s="24"/>
    </row>
    <row r="10" spans="1:14" ht="25.5" hidden="1" customHeight="1">
      <c r="A10" s="16" t="s">
        <v>68</v>
      </c>
      <c r="B10" s="25"/>
      <c r="C10" s="17" t="s">
        <v>69</v>
      </c>
      <c r="D10" s="17" t="s">
        <v>70</v>
      </c>
      <c r="E10" s="19" t="s">
        <v>71</v>
      </c>
      <c r="F10" s="20" t="s">
        <v>57</v>
      </c>
      <c r="G10" s="17" t="s">
        <v>36</v>
      </c>
      <c r="H10" s="17" t="s">
        <v>72</v>
      </c>
      <c r="I10" s="24"/>
      <c r="J10" s="24"/>
      <c r="K10" s="24"/>
      <c r="L10" s="24"/>
      <c r="M10" s="24"/>
      <c r="N10" s="24"/>
    </row>
    <row r="11" spans="1:14" ht="25.5" customHeight="1">
      <c r="A11" s="12" t="s">
        <v>73</v>
      </c>
      <c r="B11" s="26"/>
      <c r="C11" s="13" t="s">
        <v>74</v>
      </c>
      <c r="D11" s="13" t="s">
        <v>75</v>
      </c>
      <c r="E11" s="14" t="s">
        <v>34</v>
      </c>
      <c r="F11" s="15" t="s">
        <v>35</v>
      </c>
      <c r="G11" s="13" t="s">
        <v>36</v>
      </c>
      <c r="H11" s="13" t="s">
        <v>76</v>
      </c>
      <c r="I11" s="24"/>
      <c r="J11" s="24"/>
      <c r="K11" s="24"/>
      <c r="L11" s="24"/>
      <c r="M11" s="24"/>
      <c r="N11" s="24"/>
    </row>
    <row r="12" spans="1:14" ht="36">
      <c r="A12" s="16" t="s">
        <v>77</v>
      </c>
      <c r="B12" s="27" t="s">
        <v>78</v>
      </c>
      <c r="C12" s="17" t="s">
        <v>79</v>
      </c>
      <c r="D12" s="17" t="s">
        <v>80</v>
      </c>
      <c r="E12" s="14" t="s">
        <v>34</v>
      </c>
      <c r="F12" s="15" t="s">
        <v>35</v>
      </c>
      <c r="G12" s="17" t="s">
        <v>81</v>
      </c>
      <c r="H12" s="17" t="s">
        <v>82</v>
      </c>
      <c r="I12" s="24" t="s">
        <v>83</v>
      </c>
      <c r="J12" s="24" t="s">
        <v>84</v>
      </c>
      <c r="K12" s="23">
        <v>46032</v>
      </c>
      <c r="L12" s="24" t="s">
        <v>85</v>
      </c>
      <c r="M12" s="31" t="s">
        <v>84</v>
      </c>
      <c r="N12" s="23">
        <v>46032</v>
      </c>
    </row>
    <row r="13" spans="1:14" ht="24">
      <c r="A13" s="12" t="s">
        <v>86</v>
      </c>
      <c r="B13" s="28"/>
      <c r="C13" s="13" t="s">
        <v>87</v>
      </c>
      <c r="D13" s="13" t="s">
        <v>88</v>
      </c>
      <c r="E13" s="14" t="s">
        <v>34</v>
      </c>
      <c r="F13" s="15" t="s">
        <v>35</v>
      </c>
      <c r="G13" s="13" t="s">
        <v>81</v>
      </c>
      <c r="H13" s="13" t="s">
        <v>89</v>
      </c>
      <c r="I13" s="24"/>
      <c r="J13" s="24"/>
      <c r="K13" s="23"/>
      <c r="L13" s="24"/>
      <c r="M13" s="24"/>
      <c r="N13" s="24"/>
    </row>
    <row r="14" spans="1:14" ht="24">
      <c r="A14" s="16" t="s">
        <v>90</v>
      </c>
      <c r="B14" s="28"/>
      <c r="C14" s="17" t="s">
        <v>91</v>
      </c>
      <c r="D14" s="17" t="s">
        <v>92</v>
      </c>
      <c r="E14" s="14" t="s">
        <v>34</v>
      </c>
      <c r="F14" s="15" t="s">
        <v>35</v>
      </c>
      <c r="G14" s="17" t="s">
        <v>93</v>
      </c>
      <c r="H14" s="17" t="s">
        <v>94</v>
      </c>
      <c r="I14" s="24"/>
      <c r="J14" s="24"/>
      <c r="K14" s="23"/>
      <c r="L14" s="24"/>
      <c r="M14" s="24"/>
      <c r="N14" s="24"/>
    </row>
    <row r="15" spans="1:14" ht="24">
      <c r="A15" s="12" t="s">
        <v>95</v>
      </c>
      <c r="B15" s="28"/>
      <c r="C15" s="13" t="s">
        <v>96</v>
      </c>
      <c r="D15" s="13" t="s">
        <v>97</v>
      </c>
      <c r="E15" s="14" t="s">
        <v>34</v>
      </c>
      <c r="F15" s="15" t="s">
        <v>35</v>
      </c>
      <c r="G15" s="13" t="s">
        <v>98</v>
      </c>
      <c r="H15" s="13" t="s">
        <v>99</v>
      </c>
      <c r="I15" s="24"/>
      <c r="J15" s="24"/>
      <c r="K15" s="23"/>
      <c r="L15" s="24"/>
      <c r="M15" s="24"/>
      <c r="N15" s="24"/>
    </row>
    <row r="16" spans="1:14" ht="24" hidden="1">
      <c r="A16" s="16" t="s">
        <v>100</v>
      </c>
      <c r="B16" s="28"/>
      <c r="C16" s="17" t="s">
        <v>101</v>
      </c>
      <c r="D16" s="17" t="s">
        <v>102</v>
      </c>
      <c r="E16" s="19" t="s">
        <v>71</v>
      </c>
      <c r="F16" s="20" t="s">
        <v>57</v>
      </c>
      <c r="G16" s="17" t="s">
        <v>66</v>
      </c>
      <c r="H16" s="17" t="s">
        <v>103</v>
      </c>
      <c r="I16" s="24"/>
      <c r="J16" s="24"/>
      <c r="K16" s="23"/>
      <c r="L16" s="24"/>
      <c r="M16" s="24"/>
      <c r="N16" s="24"/>
    </row>
    <row r="17" spans="1:14" ht="24">
      <c r="A17" s="12" t="s">
        <v>104</v>
      </c>
      <c r="B17" s="28"/>
      <c r="C17" s="13" t="s">
        <v>105</v>
      </c>
      <c r="D17" s="13" t="s">
        <v>106</v>
      </c>
      <c r="E17" s="14" t="s">
        <v>34</v>
      </c>
      <c r="F17" s="15" t="s">
        <v>35</v>
      </c>
      <c r="G17" s="13" t="s">
        <v>36</v>
      </c>
      <c r="H17" s="13" t="s">
        <v>107</v>
      </c>
      <c r="I17" s="24"/>
      <c r="J17" s="24"/>
      <c r="K17" s="23"/>
      <c r="L17" s="24"/>
      <c r="M17" s="24"/>
      <c r="N17" s="24"/>
    </row>
    <row r="18" spans="1:14" ht="24">
      <c r="A18" s="16" t="s">
        <v>108</v>
      </c>
      <c r="B18" s="28"/>
      <c r="C18" s="17" t="s">
        <v>109</v>
      </c>
      <c r="D18" s="17" t="s">
        <v>110</v>
      </c>
      <c r="E18" s="14" t="s">
        <v>34</v>
      </c>
      <c r="F18" s="15" t="s">
        <v>35</v>
      </c>
      <c r="G18" s="17" t="s">
        <v>98</v>
      </c>
      <c r="H18" s="17" t="s">
        <v>111</v>
      </c>
      <c r="I18" s="24"/>
      <c r="J18" s="24"/>
      <c r="K18" s="23"/>
      <c r="L18" s="24"/>
      <c r="M18" s="24"/>
      <c r="N18" s="24"/>
    </row>
    <row r="19" spans="1:14" ht="24" hidden="1">
      <c r="A19" s="12" t="s">
        <v>112</v>
      </c>
      <c r="B19" s="28"/>
      <c r="C19" s="13" t="s">
        <v>113</v>
      </c>
      <c r="D19" s="13" t="s">
        <v>114</v>
      </c>
      <c r="E19" s="19" t="s">
        <v>71</v>
      </c>
      <c r="F19" s="18" t="s">
        <v>57</v>
      </c>
      <c r="G19" s="13" t="s">
        <v>66</v>
      </c>
      <c r="H19" s="13" t="s">
        <v>115</v>
      </c>
      <c r="I19" s="24"/>
      <c r="J19" s="24"/>
      <c r="K19" s="23"/>
      <c r="L19" s="24"/>
      <c r="M19" s="24"/>
      <c r="N19" s="24"/>
    </row>
    <row r="20" spans="1:14" ht="24">
      <c r="A20" s="16" t="s">
        <v>116</v>
      </c>
      <c r="B20" s="28"/>
      <c r="C20" s="17" t="s">
        <v>117</v>
      </c>
      <c r="D20" s="17" t="s">
        <v>118</v>
      </c>
      <c r="E20" s="14" t="s">
        <v>34</v>
      </c>
      <c r="F20" s="15" t="s">
        <v>35</v>
      </c>
      <c r="G20" s="17" t="s">
        <v>81</v>
      </c>
      <c r="H20" s="17" t="s">
        <v>119</v>
      </c>
      <c r="I20" s="24"/>
      <c r="J20" s="24"/>
      <c r="K20" s="23"/>
      <c r="L20" s="24"/>
      <c r="M20" s="24"/>
      <c r="N20" s="24"/>
    </row>
    <row r="21" spans="1:14" ht="24">
      <c r="A21" s="12" t="s">
        <v>120</v>
      </c>
      <c r="B21" s="28"/>
      <c r="C21" s="13" t="s">
        <v>121</v>
      </c>
      <c r="D21" s="13" t="s">
        <v>122</v>
      </c>
      <c r="E21" s="14" t="s">
        <v>34</v>
      </c>
      <c r="F21" s="15" t="s">
        <v>35</v>
      </c>
      <c r="G21" s="13" t="s">
        <v>81</v>
      </c>
      <c r="H21" s="13" t="s">
        <v>123</v>
      </c>
      <c r="I21" s="24"/>
      <c r="J21" s="24"/>
      <c r="K21" s="23"/>
      <c r="L21" s="24"/>
      <c r="M21" s="24"/>
      <c r="N21" s="24"/>
    </row>
    <row r="22" spans="1:14" ht="24">
      <c r="A22" s="16" t="s">
        <v>124</v>
      </c>
      <c r="B22" s="28"/>
      <c r="C22" s="17" t="s">
        <v>125</v>
      </c>
      <c r="D22" s="17" t="s">
        <v>126</v>
      </c>
      <c r="E22" s="14" t="s">
        <v>34</v>
      </c>
      <c r="F22" s="15" t="s">
        <v>35</v>
      </c>
      <c r="G22" s="17" t="s">
        <v>81</v>
      </c>
      <c r="H22" s="17" t="s">
        <v>127</v>
      </c>
      <c r="I22" s="24"/>
      <c r="J22" s="24"/>
      <c r="K22" s="23"/>
      <c r="L22" s="24"/>
      <c r="M22" s="24"/>
      <c r="N22" s="24"/>
    </row>
    <row r="23" spans="1:14" ht="24">
      <c r="A23" s="12" t="s">
        <v>128</v>
      </c>
      <c r="B23" s="28"/>
      <c r="C23" s="13" t="s">
        <v>129</v>
      </c>
      <c r="D23" s="13" t="s">
        <v>130</v>
      </c>
      <c r="E23" s="14" t="s">
        <v>34</v>
      </c>
      <c r="F23" s="15" t="s">
        <v>35</v>
      </c>
      <c r="G23" s="13" t="s">
        <v>81</v>
      </c>
      <c r="H23" s="13" t="s">
        <v>131</v>
      </c>
      <c r="I23" s="24"/>
      <c r="J23" s="24"/>
      <c r="K23" s="23"/>
      <c r="L23" s="24"/>
      <c r="M23" s="24"/>
      <c r="N23" s="24"/>
    </row>
    <row r="24" spans="1:14" ht="24">
      <c r="A24" s="16" t="s">
        <v>132</v>
      </c>
      <c r="B24" s="28"/>
      <c r="C24" s="17" t="s">
        <v>133</v>
      </c>
      <c r="D24" s="17" t="s">
        <v>134</v>
      </c>
      <c r="E24" s="14" t="s">
        <v>34</v>
      </c>
      <c r="F24" s="15" t="s">
        <v>35</v>
      </c>
      <c r="G24" s="17" t="s">
        <v>81</v>
      </c>
      <c r="H24" s="17" t="s">
        <v>135</v>
      </c>
      <c r="I24" s="24"/>
      <c r="J24" s="24"/>
      <c r="K24" s="23"/>
      <c r="L24" s="24"/>
      <c r="M24" s="24"/>
      <c r="N24" s="24"/>
    </row>
    <row r="25" spans="1:14" ht="24">
      <c r="A25" s="12" t="s">
        <v>136</v>
      </c>
      <c r="B25" s="28"/>
      <c r="C25" s="13" t="s">
        <v>137</v>
      </c>
      <c r="D25" s="13" t="s">
        <v>138</v>
      </c>
      <c r="E25" s="14" t="s">
        <v>34</v>
      </c>
      <c r="F25" s="15" t="s">
        <v>35</v>
      </c>
      <c r="G25" s="13" t="s">
        <v>81</v>
      </c>
      <c r="H25" s="13" t="s">
        <v>139</v>
      </c>
      <c r="I25" s="24"/>
      <c r="J25" s="24"/>
      <c r="K25" s="23"/>
      <c r="L25" s="24"/>
      <c r="M25" s="24"/>
      <c r="N25" s="24"/>
    </row>
    <row r="26" spans="1:14" ht="24" hidden="1">
      <c r="A26" s="16" t="s">
        <v>140</v>
      </c>
      <c r="B26" s="28"/>
      <c r="C26" s="17" t="s">
        <v>141</v>
      </c>
      <c r="D26" s="17" t="s">
        <v>142</v>
      </c>
      <c r="E26" s="21" t="s">
        <v>143</v>
      </c>
      <c r="F26" s="20" t="s">
        <v>144</v>
      </c>
      <c r="G26" s="17" t="s">
        <v>81</v>
      </c>
      <c r="H26" s="17" t="s">
        <v>145</v>
      </c>
      <c r="I26" s="24"/>
      <c r="J26" s="24"/>
      <c r="K26" s="23"/>
      <c r="L26" s="24"/>
      <c r="M26" s="24"/>
      <c r="N26" s="24"/>
    </row>
    <row r="27" spans="1:14" ht="36">
      <c r="A27" s="12" t="s">
        <v>146</v>
      </c>
      <c r="B27" s="28"/>
      <c r="C27" s="13" t="s">
        <v>147</v>
      </c>
      <c r="D27" s="13" t="s">
        <v>148</v>
      </c>
      <c r="E27" s="14" t="s">
        <v>34</v>
      </c>
      <c r="F27" s="15" t="s">
        <v>35</v>
      </c>
      <c r="G27" s="13" t="s">
        <v>93</v>
      </c>
      <c r="H27" s="13" t="s">
        <v>149</v>
      </c>
      <c r="I27" s="24"/>
      <c r="J27" s="24"/>
      <c r="K27" s="23"/>
      <c r="L27" s="24"/>
      <c r="M27" s="24"/>
      <c r="N27" s="24"/>
    </row>
    <row r="28" spans="1:14" ht="24" hidden="1">
      <c r="A28" s="16" t="s">
        <v>150</v>
      </c>
      <c r="B28" s="28"/>
      <c r="C28" s="17" t="s">
        <v>151</v>
      </c>
      <c r="D28" s="17" t="s">
        <v>152</v>
      </c>
      <c r="E28" s="19" t="s">
        <v>71</v>
      </c>
      <c r="F28" s="20" t="s">
        <v>57</v>
      </c>
      <c r="G28" s="17" t="s">
        <v>36</v>
      </c>
      <c r="H28" s="17" t="s">
        <v>153</v>
      </c>
      <c r="I28" s="24"/>
      <c r="J28" s="24"/>
      <c r="K28" s="23"/>
      <c r="L28" s="24"/>
      <c r="M28" s="24"/>
      <c r="N28" s="24"/>
    </row>
    <row r="29" spans="1:14" ht="36">
      <c r="A29" s="12" t="s">
        <v>154</v>
      </c>
      <c r="B29" s="28"/>
      <c r="C29" s="13" t="s">
        <v>155</v>
      </c>
      <c r="D29" s="13" t="s">
        <v>156</v>
      </c>
      <c r="E29" s="14" t="s">
        <v>34</v>
      </c>
      <c r="F29" s="15" t="s">
        <v>35</v>
      </c>
      <c r="G29" s="13" t="s">
        <v>93</v>
      </c>
      <c r="H29" s="13" t="s">
        <v>157</v>
      </c>
      <c r="I29" s="24"/>
      <c r="J29" s="24"/>
      <c r="K29" s="23"/>
      <c r="L29" s="24"/>
      <c r="M29" s="24"/>
      <c r="N29" s="24"/>
    </row>
    <row r="30" spans="1:14" ht="24">
      <c r="A30" s="16" t="s">
        <v>158</v>
      </c>
      <c r="B30" s="28"/>
      <c r="C30" s="17" t="s">
        <v>159</v>
      </c>
      <c r="D30" s="17" t="s">
        <v>160</v>
      </c>
      <c r="E30" s="14" t="s">
        <v>34</v>
      </c>
      <c r="F30" s="15" t="s">
        <v>35</v>
      </c>
      <c r="G30" s="17" t="s">
        <v>93</v>
      </c>
      <c r="H30" s="17" t="s">
        <v>161</v>
      </c>
      <c r="I30" s="24"/>
      <c r="J30" s="24"/>
      <c r="K30" s="23"/>
      <c r="L30" s="24"/>
      <c r="M30" s="24"/>
      <c r="N30" s="24"/>
    </row>
    <row r="31" spans="1:14" ht="24">
      <c r="A31" s="12" t="s">
        <v>162</v>
      </c>
      <c r="B31" s="28"/>
      <c r="C31" s="13" t="s">
        <v>163</v>
      </c>
      <c r="D31" s="13" t="s">
        <v>164</v>
      </c>
      <c r="E31" s="14" t="s">
        <v>34</v>
      </c>
      <c r="F31" s="18" t="s">
        <v>57</v>
      </c>
      <c r="G31" s="13" t="s">
        <v>66</v>
      </c>
      <c r="H31" s="13" t="s">
        <v>165</v>
      </c>
      <c r="I31" s="24"/>
      <c r="J31" s="24"/>
      <c r="K31" s="23"/>
      <c r="L31" s="24"/>
      <c r="M31" s="24"/>
      <c r="N31" s="24"/>
    </row>
    <row r="32" spans="1:14" ht="24">
      <c r="A32" s="16" t="s">
        <v>166</v>
      </c>
      <c r="B32" s="28"/>
      <c r="C32" s="17" t="s">
        <v>167</v>
      </c>
      <c r="D32" s="17" t="s">
        <v>168</v>
      </c>
      <c r="E32" s="14" t="s">
        <v>34</v>
      </c>
      <c r="F32" s="15" t="s">
        <v>35</v>
      </c>
      <c r="G32" s="17" t="s">
        <v>93</v>
      </c>
      <c r="H32" s="17" t="s">
        <v>169</v>
      </c>
      <c r="I32" s="24"/>
      <c r="J32" s="24"/>
      <c r="K32" s="23"/>
      <c r="L32" s="24"/>
      <c r="M32" s="24"/>
      <c r="N32" s="24"/>
    </row>
    <row r="33" spans="1:14" ht="24" hidden="1">
      <c r="A33" s="12" t="s">
        <v>170</v>
      </c>
      <c r="B33" s="28"/>
      <c r="C33" s="13" t="s">
        <v>171</v>
      </c>
      <c r="D33" s="13" t="s">
        <v>172</v>
      </c>
      <c r="E33" s="19" t="s">
        <v>71</v>
      </c>
      <c r="F33" s="18" t="s">
        <v>57</v>
      </c>
      <c r="G33" s="13" t="s">
        <v>93</v>
      </c>
      <c r="H33" s="13" t="s">
        <v>173</v>
      </c>
      <c r="I33" s="24"/>
      <c r="J33" s="24"/>
      <c r="K33" s="23"/>
      <c r="L33" s="24"/>
      <c r="M33" s="24"/>
      <c r="N33" s="24"/>
    </row>
    <row r="34" spans="1:14" ht="24">
      <c r="A34" s="16" t="s">
        <v>174</v>
      </c>
      <c r="B34" s="29"/>
      <c r="C34" s="17" t="s">
        <v>175</v>
      </c>
      <c r="D34" s="17" t="s">
        <v>176</v>
      </c>
      <c r="E34" s="14" t="s">
        <v>34</v>
      </c>
      <c r="F34" s="20" t="s">
        <v>57</v>
      </c>
      <c r="G34" s="17" t="s">
        <v>66</v>
      </c>
      <c r="H34" s="17" t="s">
        <v>177</v>
      </c>
      <c r="I34" s="24"/>
      <c r="J34" s="24"/>
      <c r="K34" s="23"/>
      <c r="L34" s="24"/>
      <c r="M34" s="24"/>
      <c r="N34" s="24"/>
    </row>
    <row r="35" spans="1:14" ht="24">
      <c r="A35" s="12" t="s">
        <v>178</v>
      </c>
      <c r="B35" s="30" t="s">
        <v>179</v>
      </c>
      <c r="C35" s="13" t="s">
        <v>180</v>
      </c>
      <c r="D35" s="13" t="s">
        <v>181</v>
      </c>
      <c r="E35" s="14" t="s">
        <v>34</v>
      </c>
      <c r="F35" s="15" t="s">
        <v>35</v>
      </c>
      <c r="G35" s="13" t="s">
        <v>81</v>
      </c>
      <c r="H35" s="13" t="s">
        <v>182</v>
      </c>
      <c r="I35" s="24" t="s">
        <v>183</v>
      </c>
      <c r="J35" s="23">
        <v>46152</v>
      </c>
      <c r="K35" s="23">
        <v>46366</v>
      </c>
      <c r="L35" s="24" t="s">
        <v>184</v>
      </c>
      <c r="M35" s="32">
        <v>46152</v>
      </c>
      <c r="N35" s="32">
        <v>46366</v>
      </c>
    </row>
    <row r="36" spans="1:14" ht="24">
      <c r="A36" s="16" t="s">
        <v>185</v>
      </c>
      <c r="B36" s="25"/>
      <c r="C36" s="17" t="s">
        <v>186</v>
      </c>
      <c r="D36" s="17" t="s">
        <v>187</v>
      </c>
      <c r="E36" s="14" t="s">
        <v>34</v>
      </c>
      <c r="F36" s="20" t="s">
        <v>57</v>
      </c>
      <c r="G36" s="17" t="s">
        <v>81</v>
      </c>
      <c r="H36" s="17" t="s">
        <v>188</v>
      </c>
      <c r="I36" s="24"/>
      <c r="J36" s="24"/>
      <c r="K36" s="23"/>
      <c r="L36" s="24"/>
      <c r="M36" s="24"/>
      <c r="N36" s="24"/>
    </row>
    <row r="37" spans="1:14" ht="24" hidden="1">
      <c r="A37" s="12" t="s">
        <v>189</v>
      </c>
      <c r="B37" s="25"/>
      <c r="C37" s="13" t="s">
        <v>190</v>
      </c>
      <c r="D37" s="13" t="s">
        <v>191</v>
      </c>
      <c r="E37" s="19" t="s">
        <v>71</v>
      </c>
      <c r="F37" s="15" t="s">
        <v>35</v>
      </c>
      <c r="G37" s="13" t="s">
        <v>81</v>
      </c>
      <c r="H37" s="13" t="s">
        <v>192</v>
      </c>
      <c r="I37" s="24"/>
      <c r="J37" s="24"/>
      <c r="K37" s="23"/>
      <c r="L37" s="24"/>
      <c r="M37" s="24"/>
      <c r="N37" s="24"/>
    </row>
    <row r="38" spans="1:14" ht="24" hidden="1">
      <c r="A38" s="16" t="s">
        <v>193</v>
      </c>
      <c r="B38" s="25"/>
      <c r="C38" s="17" t="s">
        <v>194</v>
      </c>
      <c r="D38" s="17" t="s">
        <v>195</v>
      </c>
      <c r="E38" s="19" t="s">
        <v>71</v>
      </c>
      <c r="F38" s="15" t="s">
        <v>35</v>
      </c>
      <c r="G38" s="17" t="s">
        <v>81</v>
      </c>
      <c r="H38" s="17" t="s">
        <v>196</v>
      </c>
      <c r="I38" s="24"/>
      <c r="J38" s="24"/>
      <c r="K38" s="23"/>
      <c r="L38" s="24"/>
      <c r="M38" s="24"/>
      <c r="N38" s="24"/>
    </row>
    <row r="39" spans="1:14" ht="24" hidden="1">
      <c r="A39" s="12" t="s">
        <v>197</v>
      </c>
      <c r="B39" s="25"/>
      <c r="C39" s="13" t="s">
        <v>198</v>
      </c>
      <c r="D39" s="13" t="s">
        <v>199</v>
      </c>
      <c r="E39" s="19" t="s">
        <v>71</v>
      </c>
      <c r="F39" s="15" t="s">
        <v>35</v>
      </c>
      <c r="G39" s="13" t="s">
        <v>81</v>
      </c>
      <c r="H39" s="13" t="s">
        <v>200</v>
      </c>
      <c r="I39" s="24"/>
      <c r="J39" s="24"/>
      <c r="K39" s="23"/>
      <c r="L39" s="24"/>
      <c r="M39" s="24"/>
      <c r="N39" s="24"/>
    </row>
    <row r="40" spans="1:14" ht="24">
      <c r="A40" s="16" t="s">
        <v>201</v>
      </c>
      <c r="B40" s="25"/>
      <c r="C40" s="17" t="s">
        <v>202</v>
      </c>
      <c r="D40" s="17" t="s">
        <v>203</v>
      </c>
      <c r="E40" s="14" t="s">
        <v>34</v>
      </c>
      <c r="F40" s="15" t="s">
        <v>35</v>
      </c>
      <c r="G40" s="17" t="s">
        <v>81</v>
      </c>
      <c r="H40" s="17" t="s">
        <v>204</v>
      </c>
      <c r="I40" s="24"/>
      <c r="J40" s="24"/>
      <c r="K40" s="23"/>
      <c r="L40" s="24"/>
      <c r="M40" s="24"/>
      <c r="N40" s="24"/>
    </row>
    <row r="41" spans="1:14" ht="24" hidden="1">
      <c r="A41" s="12" t="s">
        <v>205</v>
      </c>
      <c r="B41" s="25"/>
      <c r="C41" s="13" t="s">
        <v>206</v>
      </c>
      <c r="D41" s="13" t="s">
        <v>207</v>
      </c>
      <c r="E41" s="19" t="s">
        <v>71</v>
      </c>
      <c r="F41" s="18" t="s">
        <v>57</v>
      </c>
      <c r="G41" s="13" t="s">
        <v>81</v>
      </c>
      <c r="H41" s="13" t="s">
        <v>208</v>
      </c>
      <c r="I41" s="24"/>
      <c r="J41" s="24"/>
      <c r="K41" s="23"/>
      <c r="L41" s="24"/>
      <c r="M41" s="24"/>
      <c r="N41" s="24"/>
    </row>
    <row r="42" spans="1:14" ht="24">
      <c r="A42" s="16" t="s">
        <v>209</v>
      </c>
      <c r="B42" s="25"/>
      <c r="C42" s="17" t="s">
        <v>210</v>
      </c>
      <c r="D42" s="17" t="s">
        <v>211</v>
      </c>
      <c r="E42" s="14" t="s">
        <v>34</v>
      </c>
      <c r="F42" s="15" t="s">
        <v>35</v>
      </c>
      <c r="G42" s="17" t="s">
        <v>81</v>
      </c>
      <c r="H42" s="17" t="s">
        <v>212</v>
      </c>
      <c r="I42" s="24"/>
      <c r="J42" s="24"/>
      <c r="K42" s="23"/>
      <c r="L42" s="24"/>
      <c r="M42" s="24"/>
      <c r="N42" s="24"/>
    </row>
    <row r="43" spans="1:14" ht="24">
      <c r="A43" s="12" t="s">
        <v>213</v>
      </c>
      <c r="B43" s="25"/>
      <c r="C43" s="13" t="s">
        <v>214</v>
      </c>
      <c r="D43" s="13" t="s">
        <v>215</v>
      </c>
      <c r="E43" s="14" t="s">
        <v>34</v>
      </c>
      <c r="F43" s="18" t="s">
        <v>57</v>
      </c>
      <c r="G43" s="13" t="s">
        <v>81</v>
      </c>
      <c r="H43" s="13" t="s">
        <v>216</v>
      </c>
      <c r="I43" s="24"/>
      <c r="J43" s="24"/>
      <c r="K43" s="23"/>
      <c r="L43" s="24"/>
      <c r="M43" s="24"/>
      <c r="N43" s="24"/>
    </row>
    <row r="44" spans="1:14" ht="24" hidden="1">
      <c r="A44" s="16" t="s">
        <v>217</v>
      </c>
      <c r="B44" s="25"/>
      <c r="C44" s="17" t="s">
        <v>218</v>
      </c>
      <c r="D44" s="17" t="s">
        <v>219</v>
      </c>
      <c r="E44" s="19" t="s">
        <v>71</v>
      </c>
      <c r="F44" s="15" t="s">
        <v>35</v>
      </c>
      <c r="G44" s="17" t="s">
        <v>81</v>
      </c>
      <c r="H44" s="17" t="s">
        <v>220</v>
      </c>
      <c r="I44" s="24"/>
      <c r="J44" s="24"/>
      <c r="K44" s="23"/>
      <c r="L44" s="24"/>
      <c r="M44" s="24"/>
      <c r="N44" s="24"/>
    </row>
    <row r="45" spans="1:14" ht="24" hidden="1">
      <c r="A45" s="12" t="s">
        <v>221</v>
      </c>
      <c r="B45" s="25"/>
      <c r="C45" s="13" t="s">
        <v>222</v>
      </c>
      <c r="D45" s="13" t="s">
        <v>223</v>
      </c>
      <c r="E45" s="21" t="s">
        <v>143</v>
      </c>
      <c r="F45" s="18" t="s">
        <v>144</v>
      </c>
      <c r="G45" s="13" t="s">
        <v>81</v>
      </c>
      <c r="H45" s="13" t="s">
        <v>224</v>
      </c>
      <c r="I45" s="24"/>
      <c r="J45" s="24"/>
      <c r="K45" s="23"/>
      <c r="L45" s="24"/>
      <c r="M45" s="24"/>
      <c r="N45" s="24"/>
    </row>
    <row r="46" spans="1:14" ht="24" hidden="1">
      <c r="A46" s="16" t="s">
        <v>225</v>
      </c>
      <c r="B46" s="25"/>
      <c r="C46" s="17" t="s">
        <v>226</v>
      </c>
      <c r="D46" s="17" t="s">
        <v>227</v>
      </c>
      <c r="E46" s="21" t="s">
        <v>143</v>
      </c>
      <c r="F46" s="20" t="s">
        <v>144</v>
      </c>
      <c r="G46" s="17" t="s">
        <v>81</v>
      </c>
      <c r="H46" s="17" t="s">
        <v>228</v>
      </c>
      <c r="I46" s="24"/>
      <c r="J46" s="24"/>
      <c r="K46" s="23"/>
      <c r="L46" s="24"/>
      <c r="M46" s="24"/>
      <c r="N46" s="24"/>
    </row>
    <row r="47" spans="1:14" ht="24" hidden="1">
      <c r="A47" s="12" t="s">
        <v>229</v>
      </c>
      <c r="B47" s="25"/>
      <c r="C47" s="13" t="s">
        <v>230</v>
      </c>
      <c r="D47" s="13" t="s">
        <v>231</v>
      </c>
      <c r="E47" s="19" t="s">
        <v>71</v>
      </c>
      <c r="F47" s="18" t="s">
        <v>57</v>
      </c>
      <c r="G47" s="13" t="s">
        <v>81</v>
      </c>
      <c r="H47" s="13" t="s">
        <v>232</v>
      </c>
      <c r="I47" s="24"/>
      <c r="J47" s="24"/>
      <c r="K47" s="23"/>
      <c r="L47" s="24"/>
      <c r="M47" s="24"/>
      <c r="N47" s="24"/>
    </row>
    <row r="48" spans="1:14" ht="24" hidden="1">
      <c r="A48" s="16" t="s">
        <v>233</v>
      </c>
      <c r="B48" s="25"/>
      <c r="C48" s="17" t="s">
        <v>234</v>
      </c>
      <c r="D48" s="17" t="s">
        <v>235</v>
      </c>
      <c r="E48" s="21" t="s">
        <v>143</v>
      </c>
      <c r="F48" s="20" t="s">
        <v>144</v>
      </c>
      <c r="G48" s="17" t="s">
        <v>81</v>
      </c>
      <c r="H48" s="17" t="s">
        <v>236</v>
      </c>
      <c r="I48" s="24"/>
      <c r="J48" s="24"/>
      <c r="K48" s="23"/>
      <c r="L48" s="24"/>
      <c r="M48" s="24"/>
      <c r="N48" s="24"/>
    </row>
    <row r="49" spans="1:14" ht="24" hidden="1">
      <c r="A49" s="12" t="s">
        <v>237</v>
      </c>
      <c r="B49" s="25"/>
      <c r="C49" s="13" t="s">
        <v>238</v>
      </c>
      <c r="D49" s="13" t="s">
        <v>239</v>
      </c>
      <c r="E49" s="19" t="s">
        <v>71</v>
      </c>
      <c r="F49" s="18" t="s">
        <v>57</v>
      </c>
      <c r="G49" s="13" t="s">
        <v>81</v>
      </c>
      <c r="H49" s="13" t="s">
        <v>240</v>
      </c>
      <c r="I49" s="24"/>
      <c r="J49" s="24"/>
      <c r="K49" s="23"/>
      <c r="L49" s="24"/>
      <c r="M49" s="24"/>
      <c r="N49" s="24"/>
    </row>
    <row r="50" spans="1:14" ht="24" hidden="1">
      <c r="A50" s="16" t="s">
        <v>241</v>
      </c>
      <c r="B50" s="25"/>
      <c r="C50" s="17" t="s">
        <v>242</v>
      </c>
      <c r="D50" s="17" t="s">
        <v>243</v>
      </c>
      <c r="E50" s="21" t="s">
        <v>143</v>
      </c>
      <c r="F50" s="20" t="s">
        <v>144</v>
      </c>
      <c r="G50" s="17" t="s">
        <v>81</v>
      </c>
      <c r="H50" s="17" t="s">
        <v>244</v>
      </c>
      <c r="I50" s="24"/>
      <c r="J50" s="24"/>
      <c r="K50" s="23"/>
      <c r="L50" s="24"/>
      <c r="M50" s="24"/>
      <c r="N50" s="24"/>
    </row>
    <row r="51" spans="1:14" ht="24" hidden="1">
      <c r="A51" s="12" t="s">
        <v>245</v>
      </c>
      <c r="B51" s="25"/>
      <c r="C51" s="13" t="s">
        <v>246</v>
      </c>
      <c r="D51" s="13" t="s">
        <v>247</v>
      </c>
      <c r="E51" s="21" t="s">
        <v>143</v>
      </c>
      <c r="F51" s="18" t="s">
        <v>144</v>
      </c>
      <c r="G51" s="13" t="s">
        <v>81</v>
      </c>
      <c r="H51" s="13" t="s">
        <v>248</v>
      </c>
      <c r="I51" s="24"/>
      <c r="J51" s="24"/>
      <c r="K51" s="23"/>
      <c r="L51" s="24"/>
      <c r="M51" s="24"/>
      <c r="N51" s="24"/>
    </row>
    <row r="52" spans="1:14" ht="24" hidden="1">
      <c r="A52" s="16" t="s">
        <v>249</v>
      </c>
      <c r="B52" s="26"/>
      <c r="C52" s="17" t="s">
        <v>250</v>
      </c>
      <c r="D52" s="17" t="s">
        <v>251</v>
      </c>
      <c r="E52" s="21" t="s">
        <v>143</v>
      </c>
      <c r="F52" s="20" t="s">
        <v>57</v>
      </c>
      <c r="G52" s="17" t="s">
        <v>252</v>
      </c>
      <c r="H52" s="17" t="s">
        <v>253</v>
      </c>
      <c r="I52" s="24"/>
      <c r="J52" s="24"/>
      <c r="K52" s="23"/>
      <c r="L52" s="24"/>
      <c r="M52" s="24"/>
      <c r="N52" s="24"/>
    </row>
    <row r="53" spans="1:14" ht="24">
      <c r="A53" s="12" t="s">
        <v>254</v>
      </c>
      <c r="B53" s="30" t="s">
        <v>255</v>
      </c>
      <c r="C53" s="13" t="s">
        <v>256</v>
      </c>
      <c r="D53" s="13" t="s">
        <v>257</v>
      </c>
      <c r="E53" s="14" t="s">
        <v>34</v>
      </c>
      <c r="F53" s="15" t="s">
        <v>35</v>
      </c>
      <c r="G53" s="13" t="s">
        <v>93</v>
      </c>
      <c r="H53" s="13" t="s">
        <v>258</v>
      </c>
      <c r="I53" s="24" t="s">
        <v>259</v>
      </c>
      <c r="J53" s="24" t="s">
        <v>260</v>
      </c>
      <c r="K53" s="24" t="s">
        <v>261</v>
      </c>
      <c r="L53" s="24" t="s">
        <v>259</v>
      </c>
      <c r="M53" s="31" t="s">
        <v>260</v>
      </c>
      <c r="N53" s="31" t="s">
        <v>261</v>
      </c>
    </row>
    <row r="54" spans="1:14" ht="24" hidden="1">
      <c r="A54" s="16" t="s">
        <v>262</v>
      </c>
      <c r="B54" s="25"/>
      <c r="C54" s="17" t="s">
        <v>263</v>
      </c>
      <c r="D54" s="17" t="s">
        <v>264</v>
      </c>
      <c r="E54" s="19" t="s">
        <v>71</v>
      </c>
      <c r="F54" s="20" t="s">
        <v>57</v>
      </c>
      <c r="G54" s="17" t="s">
        <v>81</v>
      </c>
      <c r="H54" s="17" t="s">
        <v>265</v>
      </c>
      <c r="I54" s="24"/>
      <c r="J54" s="24"/>
      <c r="K54" s="24"/>
      <c r="L54" s="24"/>
      <c r="M54" s="24"/>
      <c r="N54" s="24"/>
    </row>
    <row r="55" spans="1:14" ht="24">
      <c r="A55" s="12" t="s">
        <v>266</v>
      </c>
      <c r="B55" s="25"/>
      <c r="C55" s="13" t="s">
        <v>267</v>
      </c>
      <c r="D55" s="13" t="s">
        <v>268</v>
      </c>
      <c r="E55" s="14" t="s">
        <v>34</v>
      </c>
      <c r="F55" s="15" t="s">
        <v>35</v>
      </c>
      <c r="G55" s="13" t="s">
        <v>81</v>
      </c>
      <c r="H55" s="13" t="s">
        <v>269</v>
      </c>
      <c r="I55" s="24"/>
      <c r="J55" s="24"/>
      <c r="K55" s="24"/>
      <c r="L55" s="24"/>
      <c r="M55" s="24"/>
      <c r="N55" s="24"/>
    </row>
    <row r="56" spans="1:14" ht="24" hidden="1">
      <c r="A56" s="16" t="s">
        <v>270</v>
      </c>
      <c r="B56" s="25"/>
      <c r="C56" s="17" t="s">
        <v>271</v>
      </c>
      <c r="D56" s="17" t="s">
        <v>272</v>
      </c>
      <c r="E56" s="19" t="s">
        <v>71</v>
      </c>
      <c r="F56" s="20" t="s">
        <v>57</v>
      </c>
      <c r="G56" s="17" t="s">
        <v>81</v>
      </c>
      <c r="H56" s="17" t="s">
        <v>273</v>
      </c>
      <c r="I56" s="24"/>
      <c r="J56" s="24"/>
      <c r="K56" s="24"/>
      <c r="L56" s="24"/>
      <c r="M56" s="24"/>
      <c r="N56" s="24"/>
    </row>
    <row r="57" spans="1:14" ht="24" hidden="1">
      <c r="A57" s="12" t="s">
        <v>274</v>
      </c>
      <c r="B57" s="25"/>
      <c r="C57" s="13" t="s">
        <v>275</v>
      </c>
      <c r="D57" s="13" t="s">
        <v>276</v>
      </c>
      <c r="E57" s="21" t="s">
        <v>143</v>
      </c>
      <c r="F57" s="18" t="s">
        <v>144</v>
      </c>
      <c r="G57" s="13" t="s">
        <v>81</v>
      </c>
      <c r="H57" s="13" t="s">
        <v>277</v>
      </c>
      <c r="I57" s="24"/>
      <c r="J57" s="24"/>
      <c r="K57" s="24"/>
      <c r="L57" s="24"/>
      <c r="M57" s="24"/>
      <c r="N57" s="24"/>
    </row>
    <row r="58" spans="1:14" ht="36">
      <c r="A58" s="16" t="s">
        <v>278</v>
      </c>
      <c r="B58" s="25"/>
      <c r="C58" s="17" t="s">
        <v>279</v>
      </c>
      <c r="D58" s="17" t="s">
        <v>280</v>
      </c>
      <c r="E58" s="14" t="s">
        <v>34</v>
      </c>
      <c r="F58" s="15" t="s">
        <v>35</v>
      </c>
      <c r="G58" s="17" t="s">
        <v>81</v>
      </c>
      <c r="H58" s="17" t="s">
        <v>281</v>
      </c>
      <c r="I58" s="24"/>
      <c r="J58" s="24"/>
      <c r="K58" s="24"/>
      <c r="L58" s="24"/>
      <c r="M58" s="24"/>
      <c r="N58" s="24"/>
    </row>
    <row r="59" spans="1:14" ht="24" hidden="1">
      <c r="A59" s="12" t="s">
        <v>282</v>
      </c>
      <c r="B59" s="25"/>
      <c r="C59" s="13" t="s">
        <v>283</v>
      </c>
      <c r="D59" s="13" t="s">
        <v>284</v>
      </c>
      <c r="E59" s="19" t="s">
        <v>71</v>
      </c>
      <c r="F59" s="18" t="s">
        <v>57</v>
      </c>
      <c r="G59" s="13" t="s">
        <v>81</v>
      </c>
      <c r="H59" s="13" t="s">
        <v>285</v>
      </c>
      <c r="I59" s="24"/>
      <c r="J59" s="24"/>
      <c r="K59" s="24"/>
      <c r="L59" s="24"/>
      <c r="M59" s="24"/>
      <c r="N59" s="24"/>
    </row>
    <row r="60" spans="1:14" ht="24" hidden="1">
      <c r="A60" s="16" t="s">
        <v>286</v>
      </c>
      <c r="B60" s="25"/>
      <c r="C60" s="17" t="s">
        <v>287</v>
      </c>
      <c r="D60" s="17" t="s">
        <v>288</v>
      </c>
      <c r="E60" s="19" t="s">
        <v>71</v>
      </c>
      <c r="F60" s="20" t="s">
        <v>57</v>
      </c>
      <c r="G60" s="17" t="s">
        <v>81</v>
      </c>
      <c r="H60" s="17" t="s">
        <v>289</v>
      </c>
      <c r="I60" s="24"/>
      <c r="J60" s="24"/>
      <c r="K60" s="24"/>
      <c r="L60" s="24"/>
      <c r="M60" s="24"/>
      <c r="N60" s="24"/>
    </row>
    <row r="61" spans="1:14" ht="24">
      <c r="A61" s="12" t="s">
        <v>290</v>
      </c>
      <c r="B61" s="25"/>
      <c r="C61" s="13" t="s">
        <v>291</v>
      </c>
      <c r="D61" s="13" t="s">
        <v>292</v>
      </c>
      <c r="E61" s="14" t="s">
        <v>34</v>
      </c>
      <c r="F61" s="15" t="s">
        <v>35</v>
      </c>
      <c r="G61" s="13" t="s">
        <v>81</v>
      </c>
      <c r="H61" s="13" t="s">
        <v>293</v>
      </c>
      <c r="I61" s="24"/>
      <c r="J61" s="24"/>
      <c r="K61" s="24"/>
      <c r="L61" s="24"/>
      <c r="M61" s="24"/>
      <c r="N61" s="24"/>
    </row>
    <row r="62" spans="1:14" ht="24">
      <c r="A62" s="16" t="s">
        <v>294</v>
      </c>
      <c r="B62" s="25"/>
      <c r="C62" s="17" t="s">
        <v>295</v>
      </c>
      <c r="D62" s="17" t="s">
        <v>296</v>
      </c>
      <c r="E62" s="14" t="s">
        <v>34</v>
      </c>
      <c r="F62" s="15" t="s">
        <v>35</v>
      </c>
      <c r="G62" s="17" t="s">
        <v>93</v>
      </c>
      <c r="H62" s="17" t="s">
        <v>297</v>
      </c>
      <c r="I62" s="24"/>
      <c r="J62" s="24"/>
      <c r="K62" s="24"/>
      <c r="L62" s="24"/>
      <c r="M62" s="24"/>
      <c r="N62" s="24"/>
    </row>
    <row r="63" spans="1:14" ht="24">
      <c r="A63" s="12" t="s">
        <v>298</v>
      </c>
      <c r="B63" s="25"/>
      <c r="C63" s="13" t="s">
        <v>299</v>
      </c>
      <c r="D63" s="13" t="s">
        <v>300</v>
      </c>
      <c r="E63" s="14" t="s">
        <v>34</v>
      </c>
      <c r="F63" s="15" t="s">
        <v>35</v>
      </c>
      <c r="G63" s="13" t="s">
        <v>81</v>
      </c>
      <c r="H63" s="13" t="s">
        <v>301</v>
      </c>
      <c r="I63" s="24"/>
      <c r="J63" s="24"/>
      <c r="K63" s="24"/>
      <c r="L63" s="24"/>
      <c r="M63" s="24"/>
      <c r="N63" s="24"/>
    </row>
    <row r="64" spans="1:14" ht="24" hidden="1">
      <c r="A64" s="16" t="s">
        <v>302</v>
      </c>
      <c r="B64" s="25"/>
      <c r="C64" s="17" t="s">
        <v>303</v>
      </c>
      <c r="D64" s="17" t="s">
        <v>304</v>
      </c>
      <c r="E64" s="19" t="s">
        <v>71</v>
      </c>
      <c r="F64" s="15" t="s">
        <v>35</v>
      </c>
      <c r="G64" s="17" t="s">
        <v>81</v>
      </c>
      <c r="H64" s="17" t="s">
        <v>305</v>
      </c>
      <c r="I64" s="24"/>
      <c r="J64" s="24"/>
      <c r="K64" s="24"/>
      <c r="L64" s="24"/>
      <c r="M64" s="24"/>
      <c r="N64" s="24"/>
    </row>
    <row r="65" spans="1:14" ht="24" hidden="1">
      <c r="A65" s="12" t="s">
        <v>306</v>
      </c>
      <c r="B65" s="25"/>
      <c r="C65" s="13" t="s">
        <v>307</v>
      </c>
      <c r="D65" s="13" t="s">
        <v>308</v>
      </c>
      <c r="E65" s="21" t="s">
        <v>143</v>
      </c>
      <c r="F65" s="18" t="s">
        <v>144</v>
      </c>
      <c r="G65" s="13" t="s">
        <v>309</v>
      </c>
      <c r="H65" s="13" t="s">
        <v>310</v>
      </c>
      <c r="I65" s="24"/>
      <c r="J65" s="24"/>
      <c r="K65" s="24"/>
      <c r="L65" s="24"/>
      <c r="M65" s="24"/>
      <c r="N65" s="24"/>
    </row>
    <row r="66" spans="1:14" ht="24" hidden="1">
      <c r="A66" s="16" t="s">
        <v>311</v>
      </c>
      <c r="B66" s="25"/>
      <c r="C66" s="17" t="s">
        <v>312</v>
      </c>
      <c r="D66" s="17" t="s">
        <v>313</v>
      </c>
      <c r="E66" s="21" t="s">
        <v>143</v>
      </c>
      <c r="F66" s="20" t="s">
        <v>144</v>
      </c>
      <c r="G66" s="17" t="s">
        <v>81</v>
      </c>
      <c r="H66" s="17" t="s">
        <v>314</v>
      </c>
      <c r="I66" s="24"/>
      <c r="J66" s="24"/>
      <c r="K66" s="24"/>
      <c r="L66" s="24"/>
      <c r="M66" s="24"/>
      <c r="N66" s="24"/>
    </row>
    <row r="67" spans="1:14" ht="24" hidden="1">
      <c r="A67" s="12" t="s">
        <v>315</v>
      </c>
      <c r="B67" s="25"/>
      <c r="C67" s="13" t="s">
        <v>316</v>
      </c>
      <c r="D67" s="13" t="s">
        <v>317</v>
      </c>
      <c r="E67" s="19" t="s">
        <v>71</v>
      </c>
      <c r="F67" s="18" t="s">
        <v>57</v>
      </c>
      <c r="G67" s="13" t="s">
        <v>93</v>
      </c>
      <c r="H67" s="13" t="s">
        <v>318</v>
      </c>
      <c r="I67" s="24"/>
      <c r="J67" s="24"/>
      <c r="K67" s="24"/>
      <c r="L67" s="24"/>
      <c r="M67" s="24"/>
      <c r="N67" s="24"/>
    </row>
    <row r="68" spans="1:14" ht="24">
      <c r="A68" s="16" t="s">
        <v>319</v>
      </c>
      <c r="B68" s="25"/>
      <c r="C68" s="17" t="s">
        <v>320</v>
      </c>
      <c r="D68" s="17" t="s">
        <v>321</v>
      </c>
      <c r="E68" s="14" t="s">
        <v>34</v>
      </c>
      <c r="F68" s="15" t="s">
        <v>35</v>
      </c>
      <c r="G68" s="17" t="s">
        <v>93</v>
      </c>
      <c r="H68" s="17" t="s">
        <v>322</v>
      </c>
      <c r="I68" s="24"/>
      <c r="J68" s="24"/>
      <c r="K68" s="24"/>
      <c r="L68" s="24"/>
      <c r="M68" s="24"/>
      <c r="N68" s="24"/>
    </row>
    <row r="69" spans="1:14" ht="24" hidden="1">
      <c r="A69" s="12" t="s">
        <v>323</v>
      </c>
      <c r="B69" s="25"/>
      <c r="C69" s="13" t="s">
        <v>324</v>
      </c>
      <c r="D69" s="13" t="s">
        <v>325</v>
      </c>
      <c r="E69" s="19" t="s">
        <v>71</v>
      </c>
      <c r="F69" s="18" t="s">
        <v>57</v>
      </c>
      <c r="G69" s="13" t="s">
        <v>81</v>
      </c>
      <c r="H69" s="13" t="s">
        <v>326</v>
      </c>
      <c r="I69" s="24"/>
      <c r="J69" s="24"/>
      <c r="K69" s="24"/>
      <c r="L69" s="24"/>
      <c r="M69" s="24"/>
      <c r="N69" s="24"/>
    </row>
    <row r="70" spans="1:14" ht="24">
      <c r="A70" s="16" t="s">
        <v>327</v>
      </c>
      <c r="B70" s="25"/>
      <c r="C70" s="17" t="s">
        <v>328</v>
      </c>
      <c r="D70" s="17" t="s">
        <v>329</v>
      </c>
      <c r="E70" s="14" t="s">
        <v>34</v>
      </c>
      <c r="F70" s="15" t="s">
        <v>35</v>
      </c>
      <c r="G70" s="17" t="s">
        <v>36</v>
      </c>
      <c r="H70" s="17" t="s">
        <v>330</v>
      </c>
      <c r="I70" s="24"/>
      <c r="J70" s="24"/>
      <c r="K70" s="24"/>
      <c r="L70" s="24"/>
      <c r="M70" s="24"/>
      <c r="N70" s="24"/>
    </row>
    <row r="71" spans="1:14" ht="24" hidden="1">
      <c r="A71" s="12" t="s">
        <v>331</v>
      </c>
      <c r="B71" s="25"/>
      <c r="C71" s="13" t="s">
        <v>332</v>
      </c>
      <c r="D71" s="13" t="s">
        <v>333</v>
      </c>
      <c r="E71" s="19" t="s">
        <v>71</v>
      </c>
      <c r="F71" s="15" t="s">
        <v>35</v>
      </c>
      <c r="G71" s="13" t="s">
        <v>81</v>
      </c>
      <c r="H71" s="13" t="s">
        <v>334</v>
      </c>
      <c r="I71" s="24" t="s">
        <v>335</v>
      </c>
      <c r="J71" s="24" t="s">
        <v>336</v>
      </c>
      <c r="K71" s="24" t="s">
        <v>337</v>
      </c>
      <c r="L71" s="24" t="s">
        <v>338</v>
      </c>
      <c r="M71" s="31" t="s">
        <v>336</v>
      </c>
      <c r="N71" s="23">
        <v>46033</v>
      </c>
    </row>
    <row r="72" spans="1:14" ht="24" hidden="1">
      <c r="A72" s="16" t="s">
        <v>339</v>
      </c>
      <c r="B72" s="26"/>
      <c r="C72" s="17" t="s">
        <v>340</v>
      </c>
      <c r="D72" s="17" t="s">
        <v>341</v>
      </c>
      <c r="E72" s="19" t="s">
        <v>71</v>
      </c>
      <c r="F72" s="20" t="s">
        <v>57</v>
      </c>
      <c r="G72" s="17" t="s">
        <v>81</v>
      </c>
      <c r="H72" s="17" t="s">
        <v>342</v>
      </c>
      <c r="I72" s="24"/>
      <c r="J72" s="24"/>
      <c r="K72" s="24"/>
      <c r="L72" s="24"/>
      <c r="M72" s="24"/>
      <c r="N72" s="24"/>
    </row>
    <row r="73" spans="1:14" ht="24">
      <c r="A73" s="12" t="s">
        <v>343</v>
      </c>
      <c r="B73" s="30" t="s">
        <v>344</v>
      </c>
      <c r="C73" s="13" t="s">
        <v>345</v>
      </c>
      <c r="D73" s="13" t="s">
        <v>346</v>
      </c>
      <c r="E73" s="14" t="s">
        <v>34</v>
      </c>
      <c r="F73" s="15" t="s">
        <v>35</v>
      </c>
      <c r="G73" s="13" t="s">
        <v>66</v>
      </c>
      <c r="H73" s="13" t="s">
        <v>347</v>
      </c>
      <c r="I73" s="24"/>
      <c r="J73" s="24"/>
      <c r="K73" s="24"/>
      <c r="L73" s="24"/>
      <c r="M73" s="24"/>
      <c r="N73" s="24"/>
    </row>
    <row r="74" spans="1:14" ht="24" hidden="1">
      <c r="A74" s="16" t="s">
        <v>348</v>
      </c>
      <c r="B74" s="25"/>
      <c r="C74" s="17" t="s">
        <v>349</v>
      </c>
      <c r="D74" s="17" t="s">
        <v>350</v>
      </c>
      <c r="E74" s="19" t="s">
        <v>71</v>
      </c>
      <c r="F74" s="20" t="s">
        <v>57</v>
      </c>
      <c r="G74" s="17" t="s">
        <v>66</v>
      </c>
      <c r="H74" s="17" t="s">
        <v>351</v>
      </c>
      <c r="I74" s="24"/>
      <c r="J74" s="24"/>
      <c r="K74" s="24"/>
      <c r="L74" s="24"/>
      <c r="M74" s="24"/>
      <c r="N74" s="24"/>
    </row>
    <row r="75" spans="1:14" ht="24">
      <c r="A75" s="12" t="s">
        <v>352</v>
      </c>
      <c r="B75" s="25"/>
      <c r="C75" s="13" t="s">
        <v>353</v>
      </c>
      <c r="D75" s="13" t="s">
        <v>354</v>
      </c>
      <c r="E75" s="14" t="s">
        <v>34</v>
      </c>
      <c r="F75" s="15" t="s">
        <v>35</v>
      </c>
      <c r="G75" s="13" t="s">
        <v>93</v>
      </c>
      <c r="H75" s="13" t="s">
        <v>355</v>
      </c>
      <c r="I75" s="24"/>
      <c r="J75" s="24"/>
      <c r="K75" s="24"/>
      <c r="L75" s="24"/>
      <c r="M75" s="24"/>
      <c r="N75" s="24"/>
    </row>
    <row r="76" spans="1:14" ht="24">
      <c r="A76" s="16" t="s">
        <v>356</v>
      </c>
      <c r="B76" s="25"/>
      <c r="C76" s="17" t="s">
        <v>357</v>
      </c>
      <c r="D76" s="17" t="s">
        <v>358</v>
      </c>
      <c r="E76" s="14" t="s">
        <v>34</v>
      </c>
      <c r="F76" s="15" t="s">
        <v>35</v>
      </c>
      <c r="G76" s="17" t="s">
        <v>66</v>
      </c>
      <c r="H76" s="17" t="s">
        <v>359</v>
      </c>
      <c r="I76" s="24"/>
      <c r="J76" s="24"/>
      <c r="K76" s="24"/>
      <c r="L76" s="24"/>
      <c r="M76" s="24"/>
      <c r="N76" s="24"/>
    </row>
    <row r="77" spans="1:14" ht="24">
      <c r="A77" s="12" t="s">
        <v>360</v>
      </c>
      <c r="B77" s="25"/>
      <c r="C77" s="13" t="s">
        <v>361</v>
      </c>
      <c r="D77" s="13" t="s">
        <v>362</v>
      </c>
      <c r="E77" s="14" t="s">
        <v>34</v>
      </c>
      <c r="F77" s="15" t="s">
        <v>35</v>
      </c>
      <c r="G77" s="13" t="s">
        <v>66</v>
      </c>
      <c r="H77" s="13" t="s">
        <v>363</v>
      </c>
      <c r="I77" s="24"/>
      <c r="J77" s="24"/>
      <c r="K77" s="24"/>
      <c r="L77" s="24"/>
      <c r="M77" s="24"/>
      <c r="N77" s="24"/>
    </row>
    <row r="78" spans="1:14" ht="24" hidden="1">
      <c r="A78" s="16" t="s">
        <v>364</v>
      </c>
      <c r="B78" s="25"/>
      <c r="C78" s="17" t="s">
        <v>365</v>
      </c>
      <c r="D78" s="17" t="s">
        <v>366</v>
      </c>
      <c r="E78" s="19" t="s">
        <v>71</v>
      </c>
      <c r="F78" s="15" t="s">
        <v>35</v>
      </c>
      <c r="G78" s="17" t="s">
        <v>66</v>
      </c>
      <c r="H78" s="17" t="s">
        <v>367</v>
      </c>
      <c r="I78" s="24"/>
      <c r="J78" s="24"/>
      <c r="K78" s="24"/>
      <c r="L78" s="24"/>
      <c r="M78" s="24"/>
      <c r="N78" s="24"/>
    </row>
    <row r="79" spans="1:14" ht="24" hidden="1">
      <c r="A79" s="12" t="s">
        <v>368</v>
      </c>
      <c r="B79" s="25"/>
      <c r="C79" s="13" t="s">
        <v>369</v>
      </c>
      <c r="D79" s="13" t="s">
        <v>370</v>
      </c>
      <c r="E79" s="19" t="s">
        <v>71</v>
      </c>
      <c r="F79" s="18" t="s">
        <v>57</v>
      </c>
      <c r="G79" s="13" t="s">
        <v>66</v>
      </c>
      <c r="H79" s="13" t="s">
        <v>371</v>
      </c>
      <c r="I79" s="24"/>
      <c r="J79" s="24"/>
      <c r="K79" s="24"/>
      <c r="L79" s="24"/>
      <c r="M79" s="24"/>
      <c r="N79" s="24"/>
    </row>
    <row r="80" spans="1:14" ht="24">
      <c r="A80" s="16" t="s">
        <v>372</v>
      </c>
      <c r="B80" s="25"/>
      <c r="C80" s="17" t="s">
        <v>373</v>
      </c>
      <c r="D80" s="17" t="s">
        <v>374</v>
      </c>
      <c r="E80" s="14" t="s">
        <v>34</v>
      </c>
      <c r="F80" s="15" t="s">
        <v>35</v>
      </c>
      <c r="G80" s="17" t="s">
        <v>93</v>
      </c>
      <c r="H80" s="17" t="s">
        <v>375</v>
      </c>
      <c r="I80" s="24"/>
      <c r="J80" s="24"/>
      <c r="K80" s="24"/>
      <c r="L80" s="24"/>
      <c r="M80" s="24"/>
      <c r="N80" s="24"/>
    </row>
    <row r="81" spans="1:14" ht="24" hidden="1">
      <c r="A81" s="12" t="s">
        <v>376</v>
      </c>
      <c r="B81" s="25"/>
      <c r="C81" s="13" t="s">
        <v>377</v>
      </c>
      <c r="D81" s="13" t="s">
        <v>378</v>
      </c>
      <c r="E81" s="19" t="s">
        <v>71</v>
      </c>
      <c r="F81" s="15" t="s">
        <v>35</v>
      </c>
      <c r="G81" s="13" t="s">
        <v>66</v>
      </c>
      <c r="H81" s="13" t="s">
        <v>379</v>
      </c>
      <c r="I81" s="24"/>
      <c r="J81" s="24"/>
      <c r="K81" s="24"/>
      <c r="L81" s="24"/>
      <c r="M81" s="24"/>
      <c r="N81" s="24"/>
    </row>
    <row r="82" spans="1:14" ht="24" hidden="1">
      <c r="A82" s="16" t="s">
        <v>380</v>
      </c>
      <c r="B82" s="25"/>
      <c r="C82" s="17" t="s">
        <v>381</v>
      </c>
      <c r="D82" s="17" t="s">
        <v>382</v>
      </c>
      <c r="E82" s="21" t="s">
        <v>143</v>
      </c>
      <c r="F82" s="20" t="s">
        <v>144</v>
      </c>
      <c r="G82" s="17" t="s">
        <v>66</v>
      </c>
      <c r="H82" s="17" t="s">
        <v>383</v>
      </c>
      <c r="I82" s="24"/>
      <c r="J82" s="24"/>
      <c r="K82" s="24"/>
      <c r="L82" s="24"/>
      <c r="M82" s="24"/>
      <c r="N82" s="24"/>
    </row>
    <row r="83" spans="1:14" ht="24" hidden="1">
      <c r="A83" s="12" t="s">
        <v>384</v>
      </c>
      <c r="B83" s="25"/>
      <c r="C83" s="13" t="s">
        <v>385</v>
      </c>
      <c r="D83" s="13" t="s">
        <v>386</v>
      </c>
      <c r="E83" s="21" t="s">
        <v>143</v>
      </c>
      <c r="F83" s="18" t="s">
        <v>144</v>
      </c>
      <c r="G83" s="13" t="s">
        <v>66</v>
      </c>
      <c r="H83" s="13" t="s">
        <v>387</v>
      </c>
      <c r="I83" s="24"/>
      <c r="J83" s="24"/>
      <c r="K83" s="24"/>
      <c r="L83" s="24"/>
      <c r="M83" s="24"/>
      <c r="N83" s="24"/>
    </row>
    <row r="84" spans="1:14" ht="24" hidden="1">
      <c r="A84" s="16" t="s">
        <v>388</v>
      </c>
      <c r="B84" s="25"/>
      <c r="C84" s="17" t="s">
        <v>389</v>
      </c>
      <c r="D84" s="17" t="s">
        <v>390</v>
      </c>
      <c r="E84" s="19" t="s">
        <v>71</v>
      </c>
      <c r="F84" s="15" t="s">
        <v>35</v>
      </c>
      <c r="G84" s="17" t="s">
        <v>93</v>
      </c>
      <c r="H84" s="17" t="s">
        <v>391</v>
      </c>
      <c r="I84" s="24"/>
      <c r="J84" s="24"/>
      <c r="K84" s="24"/>
      <c r="L84" s="24"/>
      <c r="M84" s="24"/>
      <c r="N84" s="24"/>
    </row>
    <row r="85" spans="1:14" ht="24" hidden="1">
      <c r="A85" s="12" t="s">
        <v>392</v>
      </c>
      <c r="B85" s="25"/>
      <c r="C85" s="13" t="s">
        <v>393</v>
      </c>
      <c r="D85" s="13" t="s">
        <v>394</v>
      </c>
      <c r="E85" s="19" t="s">
        <v>71</v>
      </c>
      <c r="F85" s="15" t="s">
        <v>35</v>
      </c>
      <c r="G85" s="13" t="s">
        <v>66</v>
      </c>
      <c r="H85" s="13" t="s">
        <v>395</v>
      </c>
      <c r="I85" s="24"/>
      <c r="J85" s="24"/>
      <c r="K85" s="24"/>
      <c r="L85" s="24"/>
      <c r="M85" s="24"/>
      <c r="N85" s="24"/>
    </row>
    <row r="86" spans="1:14" ht="24" hidden="1">
      <c r="A86" s="16" t="s">
        <v>396</v>
      </c>
      <c r="B86" s="25"/>
      <c r="C86" s="17" t="s">
        <v>397</v>
      </c>
      <c r="D86" s="17" t="s">
        <v>398</v>
      </c>
      <c r="E86" s="19" t="s">
        <v>71</v>
      </c>
      <c r="F86" s="20" t="s">
        <v>57</v>
      </c>
      <c r="G86" s="17" t="s">
        <v>66</v>
      </c>
      <c r="H86" s="17" t="s">
        <v>399</v>
      </c>
      <c r="I86" s="24"/>
      <c r="J86" s="24"/>
      <c r="K86" s="24"/>
      <c r="L86" s="24"/>
      <c r="M86" s="24"/>
      <c r="N86" s="24"/>
    </row>
    <row r="87" spans="1:14" ht="24">
      <c r="A87" s="12" t="s">
        <v>400</v>
      </c>
      <c r="B87" s="25"/>
      <c r="C87" s="13" t="s">
        <v>401</v>
      </c>
      <c r="D87" s="13" t="s">
        <v>402</v>
      </c>
      <c r="E87" s="14" t="s">
        <v>34</v>
      </c>
      <c r="F87" s="15" t="s">
        <v>35</v>
      </c>
      <c r="G87" s="13" t="s">
        <v>93</v>
      </c>
      <c r="H87" s="13" t="s">
        <v>403</v>
      </c>
      <c r="I87" s="24"/>
      <c r="J87" s="24"/>
      <c r="K87" s="24"/>
      <c r="L87" s="24"/>
      <c r="M87" s="24"/>
      <c r="N87" s="24"/>
    </row>
    <row r="88" spans="1:14" ht="24" hidden="1">
      <c r="A88" s="16" t="s">
        <v>404</v>
      </c>
      <c r="B88" s="25"/>
      <c r="C88" s="17" t="s">
        <v>405</v>
      </c>
      <c r="D88" s="17" t="s">
        <v>406</v>
      </c>
      <c r="E88" s="19" t="s">
        <v>71</v>
      </c>
      <c r="F88" s="20" t="s">
        <v>57</v>
      </c>
      <c r="G88" s="17" t="s">
        <v>66</v>
      </c>
      <c r="H88" s="17" t="s">
        <v>407</v>
      </c>
      <c r="I88" s="24"/>
      <c r="J88" s="24"/>
      <c r="K88" s="24"/>
      <c r="L88" s="24"/>
      <c r="M88" s="24"/>
      <c r="N88" s="24"/>
    </row>
    <row r="89" spans="1:14" ht="24" hidden="1">
      <c r="A89" s="12" t="s">
        <v>408</v>
      </c>
      <c r="B89" s="25"/>
      <c r="C89" s="13" t="s">
        <v>409</v>
      </c>
      <c r="D89" s="13" t="s">
        <v>410</v>
      </c>
      <c r="E89" s="19" t="s">
        <v>71</v>
      </c>
      <c r="F89" s="18" t="s">
        <v>57</v>
      </c>
      <c r="G89" s="13" t="s">
        <v>93</v>
      </c>
      <c r="H89" s="13" t="s">
        <v>411</v>
      </c>
      <c r="I89" s="24"/>
      <c r="J89" s="24"/>
      <c r="K89" s="24"/>
      <c r="L89" s="24"/>
      <c r="M89" s="24"/>
      <c r="N89" s="24"/>
    </row>
    <row r="90" spans="1:14" ht="24">
      <c r="A90" s="16" t="s">
        <v>412</v>
      </c>
      <c r="B90" s="25"/>
      <c r="C90" s="17" t="s">
        <v>413</v>
      </c>
      <c r="D90" s="17" t="s">
        <v>414</v>
      </c>
      <c r="E90" s="14" t="s">
        <v>34</v>
      </c>
      <c r="F90" s="15" t="s">
        <v>35</v>
      </c>
      <c r="G90" s="17" t="s">
        <v>93</v>
      </c>
      <c r="H90" s="17" t="s">
        <v>415</v>
      </c>
      <c r="I90" s="24"/>
      <c r="J90" s="24"/>
      <c r="K90" s="24"/>
      <c r="L90" s="24"/>
      <c r="M90" s="24"/>
      <c r="N90" s="24"/>
    </row>
    <row r="91" spans="1:14" ht="24">
      <c r="A91" s="12" t="s">
        <v>416</v>
      </c>
      <c r="B91" s="25"/>
      <c r="C91" s="13" t="s">
        <v>417</v>
      </c>
      <c r="D91" s="13" t="s">
        <v>418</v>
      </c>
      <c r="E91" s="14" t="s">
        <v>34</v>
      </c>
      <c r="F91" s="15" t="s">
        <v>35</v>
      </c>
      <c r="G91" s="13" t="s">
        <v>93</v>
      </c>
      <c r="H91" s="13" t="s">
        <v>419</v>
      </c>
      <c r="I91" s="24"/>
      <c r="J91" s="24"/>
      <c r="K91" s="24"/>
      <c r="L91" s="24"/>
      <c r="M91" s="24"/>
      <c r="N91" s="24"/>
    </row>
    <row r="92" spans="1:14" ht="24">
      <c r="A92" s="16" t="s">
        <v>420</v>
      </c>
      <c r="B92" s="25"/>
      <c r="C92" s="17" t="s">
        <v>421</v>
      </c>
      <c r="D92" s="17" t="s">
        <v>422</v>
      </c>
      <c r="E92" s="14" t="s">
        <v>34</v>
      </c>
      <c r="F92" s="15" t="s">
        <v>35</v>
      </c>
      <c r="G92" s="17" t="s">
        <v>93</v>
      </c>
      <c r="H92" s="17" t="s">
        <v>423</v>
      </c>
      <c r="I92" s="24"/>
      <c r="J92" s="24"/>
      <c r="K92" s="24"/>
      <c r="L92" s="24"/>
      <c r="M92" s="24"/>
      <c r="N92" s="24"/>
    </row>
    <row r="93" spans="1:14" ht="24">
      <c r="A93" s="12" t="s">
        <v>424</v>
      </c>
      <c r="B93" s="25"/>
      <c r="C93" s="13" t="s">
        <v>425</v>
      </c>
      <c r="D93" s="13" t="s">
        <v>426</v>
      </c>
      <c r="E93" s="14" t="s">
        <v>34</v>
      </c>
      <c r="F93" s="15" t="s">
        <v>35</v>
      </c>
      <c r="G93" s="13" t="s">
        <v>93</v>
      </c>
      <c r="H93" s="13" t="s">
        <v>427</v>
      </c>
      <c r="I93" s="24"/>
      <c r="J93" s="24"/>
      <c r="K93" s="24"/>
      <c r="L93" s="24"/>
      <c r="M93" s="24"/>
      <c r="N93" s="24"/>
    </row>
    <row r="94" spans="1:14" ht="24">
      <c r="A94" s="16" t="s">
        <v>428</v>
      </c>
      <c r="B94" s="25"/>
      <c r="C94" s="17" t="s">
        <v>429</v>
      </c>
      <c r="D94" s="17" t="s">
        <v>430</v>
      </c>
      <c r="E94" s="14" t="s">
        <v>34</v>
      </c>
      <c r="F94" s="15" t="s">
        <v>35</v>
      </c>
      <c r="G94" s="17" t="s">
        <v>66</v>
      </c>
      <c r="H94" s="17" t="s">
        <v>431</v>
      </c>
      <c r="I94" s="24"/>
      <c r="J94" s="24"/>
      <c r="K94" s="24"/>
      <c r="L94" s="24"/>
      <c r="M94" s="24"/>
      <c r="N94" s="24"/>
    </row>
    <row r="95" spans="1:14" ht="24" hidden="1">
      <c r="A95" s="12" t="s">
        <v>432</v>
      </c>
      <c r="B95" s="25"/>
      <c r="C95" s="13" t="s">
        <v>433</v>
      </c>
      <c r="D95" s="13" t="s">
        <v>434</v>
      </c>
      <c r="E95" s="19" t="s">
        <v>71</v>
      </c>
      <c r="F95" s="18" t="s">
        <v>57</v>
      </c>
      <c r="G95" s="13" t="s">
        <v>93</v>
      </c>
      <c r="H95" s="13" t="s">
        <v>435</v>
      </c>
      <c r="I95" s="24"/>
      <c r="J95" s="24"/>
      <c r="K95" s="24"/>
      <c r="L95" s="24"/>
      <c r="M95" s="24"/>
      <c r="N95" s="24"/>
    </row>
    <row r="96" spans="1:14" ht="24" hidden="1">
      <c r="A96" s="16" t="s">
        <v>436</v>
      </c>
      <c r="B96" s="25"/>
      <c r="C96" s="17" t="s">
        <v>437</v>
      </c>
      <c r="D96" s="17" t="s">
        <v>438</v>
      </c>
      <c r="E96" s="19" t="s">
        <v>71</v>
      </c>
      <c r="F96" s="20" t="s">
        <v>57</v>
      </c>
      <c r="G96" s="17" t="s">
        <v>66</v>
      </c>
      <c r="H96" s="17" t="s">
        <v>439</v>
      </c>
      <c r="I96" s="24"/>
      <c r="J96" s="24"/>
      <c r="K96" s="24"/>
      <c r="L96" s="24"/>
      <c r="M96" s="24"/>
      <c r="N96" s="24"/>
    </row>
    <row r="97" spans="1:14" ht="24" hidden="1">
      <c r="A97" s="12" t="s">
        <v>440</v>
      </c>
      <c r="B97" s="25"/>
      <c r="C97" s="13" t="s">
        <v>441</v>
      </c>
      <c r="D97" s="13" t="s">
        <v>442</v>
      </c>
      <c r="E97" s="21" t="s">
        <v>143</v>
      </c>
      <c r="F97" s="18" t="s">
        <v>144</v>
      </c>
      <c r="G97" s="13" t="s">
        <v>66</v>
      </c>
      <c r="H97" s="13" t="s">
        <v>443</v>
      </c>
      <c r="I97" s="24"/>
      <c r="J97" s="24"/>
      <c r="K97" s="24"/>
      <c r="L97" s="24"/>
      <c r="M97" s="24"/>
      <c r="N97" s="24"/>
    </row>
    <row r="98" spans="1:14" ht="24" hidden="1">
      <c r="A98" s="16" t="s">
        <v>444</v>
      </c>
      <c r="B98" s="25"/>
      <c r="C98" s="17" t="s">
        <v>445</v>
      </c>
      <c r="D98" s="17" t="s">
        <v>446</v>
      </c>
      <c r="E98" s="19" t="s">
        <v>71</v>
      </c>
      <c r="F98" s="15" t="s">
        <v>35</v>
      </c>
      <c r="G98" s="17" t="s">
        <v>66</v>
      </c>
      <c r="H98" s="17" t="s">
        <v>447</v>
      </c>
      <c r="I98" s="24"/>
      <c r="J98" s="24"/>
      <c r="K98" s="24"/>
      <c r="L98" s="24"/>
      <c r="M98" s="24"/>
      <c r="N98" s="24"/>
    </row>
    <row r="99" spans="1:14" ht="24">
      <c r="A99" s="12" t="s">
        <v>448</v>
      </c>
      <c r="B99" s="25"/>
      <c r="C99" s="13" t="s">
        <v>449</v>
      </c>
      <c r="D99" s="13" t="s">
        <v>450</v>
      </c>
      <c r="E99" s="14" t="s">
        <v>34</v>
      </c>
      <c r="F99" s="15" t="s">
        <v>35</v>
      </c>
      <c r="G99" s="13" t="s">
        <v>93</v>
      </c>
      <c r="H99" s="13" t="s">
        <v>451</v>
      </c>
      <c r="I99" s="24"/>
      <c r="J99" s="24"/>
      <c r="K99" s="24"/>
      <c r="L99" s="24"/>
      <c r="M99" s="24"/>
      <c r="N99" s="24"/>
    </row>
    <row r="100" spans="1:14" ht="24">
      <c r="A100" s="16" t="s">
        <v>452</v>
      </c>
      <c r="B100" s="25"/>
      <c r="C100" s="17" t="s">
        <v>453</v>
      </c>
      <c r="D100" s="17" t="s">
        <v>454</v>
      </c>
      <c r="E100" s="14" t="s">
        <v>34</v>
      </c>
      <c r="F100" s="15" t="s">
        <v>35</v>
      </c>
      <c r="G100" s="17" t="s">
        <v>93</v>
      </c>
      <c r="H100" s="17" t="s">
        <v>455</v>
      </c>
      <c r="I100" s="24"/>
      <c r="J100" s="24"/>
      <c r="K100" s="24"/>
      <c r="L100" s="24"/>
      <c r="M100" s="24"/>
      <c r="N100" s="24"/>
    </row>
    <row r="101" spans="1:14" ht="24">
      <c r="A101" s="12" t="s">
        <v>456</v>
      </c>
      <c r="B101" s="25"/>
      <c r="C101" s="13" t="s">
        <v>457</v>
      </c>
      <c r="D101" s="13" t="s">
        <v>458</v>
      </c>
      <c r="E101" s="14" t="s">
        <v>34</v>
      </c>
      <c r="F101" s="15" t="s">
        <v>35</v>
      </c>
      <c r="G101" s="13" t="s">
        <v>93</v>
      </c>
      <c r="H101" s="13" t="s">
        <v>459</v>
      </c>
      <c r="I101" s="24"/>
      <c r="J101" s="24"/>
      <c r="K101" s="24"/>
      <c r="L101" s="24"/>
      <c r="M101" s="24"/>
      <c r="N101" s="24"/>
    </row>
    <row r="102" spans="1:14" ht="24" hidden="1">
      <c r="A102" s="16" t="s">
        <v>460</v>
      </c>
      <c r="B102" s="25"/>
      <c r="C102" s="17" t="s">
        <v>461</v>
      </c>
      <c r="D102" s="17" t="s">
        <v>462</v>
      </c>
      <c r="E102" s="19" t="s">
        <v>71</v>
      </c>
      <c r="F102" s="20" t="s">
        <v>57</v>
      </c>
      <c r="G102" s="17" t="s">
        <v>93</v>
      </c>
      <c r="H102" s="17" t="s">
        <v>463</v>
      </c>
      <c r="I102" s="24"/>
      <c r="J102" s="24"/>
      <c r="K102" s="24"/>
      <c r="L102" s="24"/>
      <c r="M102" s="24"/>
      <c r="N102" s="24"/>
    </row>
    <row r="103" spans="1:14" ht="24" hidden="1">
      <c r="A103" s="12" t="s">
        <v>464</v>
      </c>
      <c r="B103" s="26"/>
      <c r="C103" s="13" t="s">
        <v>465</v>
      </c>
      <c r="D103" s="13" t="s">
        <v>466</v>
      </c>
      <c r="E103" s="19" t="s">
        <v>71</v>
      </c>
      <c r="F103" s="15" t="s">
        <v>35</v>
      </c>
      <c r="G103" s="13" t="s">
        <v>66</v>
      </c>
      <c r="H103" s="13" t="s">
        <v>467</v>
      </c>
      <c r="I103" s="24"/>
      <c r="J103" s="24"/>
      <c r="K103" s="24"/>
      <c r="L103" s="24"/>
      <c r="M103" s="24"/>
      <c r="N103" s="24"/>
    </row>
    <row r="104" spans="1:14" ht="24">
      <c r="A104" s="16" t="s">
        <v>468</v>
      </c>
      <c r="B104" s="27" t="s">
        <v>469</v>
      </c>
      <c r="C104" s="17" t="s">
        <v>470</v>
      </c>
      <c r="D104" s="17" t="s">
        <v>471</v>
      </c>
      <c r="E104" s="14" t="s">
        <v>34</v>
      </c>
      <c r="F104" s="15" t="s">
        <v>35</v>
      </c>
      <c r="G104" s="17" t="s">
        <v>472</v>
      </c>
      <c r="H104" s="17" t="s">
        <v>473</v>
      </c>
      <c r="I104" s="24" t="s">
        <v>474</v>
      </c>
      <c r="J104" s="24" t="s">
        <v>475</v>
      </c>
      <c r="K104" s="23">
        <v>46153</v>
      </c>
      <c r="L104" s="24" t="s">
        <v>41</v>
      </c>
      <c r="M104" s="23">
        <v>46064</v>
      </c>
      <c r="N104" s="23">
        <v>46276</v>
      </c>
    </row>
    <row r="105" spans="1:14" ht="24">
      <c r="A105" s="12" t="s">
        <v>476</v>
      </c>
      <c r="B105" s="28"/>
      <c r="C105" s="13" t="s">
        <v>477</v>
      </c>
      <c r="D105" s="13" t="s">
        <v>478</v>
      </c>
      <c r="E105" s="14" t="s">
        <v>34</v>
      </c>
      <c r="F105" s="15" t="s">
        <v>35</v>
      </c>
      <c r="G105" s="13" t="s">
        <v>472</v>
      </c>
      <c r="H105" s="13" t="s">
        <v>479</v>
      </c>
      <c r="I105" s="24"/>
      <c r="J105" s="24"/>
      <c r="K105" s="23"/>
      <c r="L105" s="24"/>
      <c r="M105" s="24"/>
      <c r="N105" s="24"/>
    </row>
    <row r="106" spans="1:14" ht="24">
      <c r="A106" s="16" t="s">
        <v>480</v>
      </c>
      <c r="B106" s="28"/>
      <c r="C106" s="17" t="s">
        <v>481</v>
      </c>
      <c r="D106" s="17" t="s">
        <v>482</v>
      </c>
      <c r="E106" s="14" t="s">
        <v>34</v>
      </c>
      <c r="F106" s="15" t="s">
        <v>35</v>
      </c>
      <c r="G106" s="17" t="s">
        <v>472</v>
      </c>
      <c r="H106" s="17" t="s">
        <v>483</v>
      </c>
      <c r="I106" s="24"/>
      <c r="J106" s="24"/>
      <c r="K106" s="23"/>
      <c r="L106" s="24"/>
      <c r="M106" s="24"/>
      <c r="N106" s="24"/>
    </row>
    <row r="107" spans="1:14" ht="24">
      <c r="A107" s="12" t="s">
        <v>484</v>
      </c>
      <c r="B107" s="28"/>
      <c r="C107" s="13" t="s">
        <v>485</v>
      </c>
      <c r="D107" s="13" t="s">
        <v>486</v>
      </c>
      <c r="E107" s="14" t="s">
        <v>34</v>
      </c>
      <c r="F107" s="18" t="s">
        <v>57</v>
      </c>
      <c r="G107" s="13" t="s">
        <v>472</v>
      </c>
      <c r="H107" s="13" t="s">
        <v>487</v>
      </c>
      <c r="I107" s="24"/>
      <c r="J107" s="24"/>
      <c r="K107" s="23"/>
      <c r="L107" s="24"/>
      <c r="M107" s="24"/>
      <c r="N107" s="24"/>
    </row>
    <row r="108" spans="1:14" ht="36">
      <c r="A108" s="16" t="s">
        <v>488</v>
      </c>
      <c r="B108" s="28"/>
      <c r="C108" s="17" t="s">
        <v>489</v>
      </c>
      <c r="D108" s="17" t="s">
        <v>490</v>
      </c>
      <c r="E108" s="14" t="s">
        <v>34</v>
      </c>
      <c r="F108" s="15" t="s">
        <v>35</v>
      </c>
      <c r="G108" s="17" t="s">
        <v>472</v>
      </c>
      <c r="H108" s="17" t="s">
        <v>491</v>
      </c>
      <c r="I108" s="24"/>
      <c r="J108" s="24"/>
      <c r="K108" s="23"/>
      <c r="L108" s="24"/>
      <c r="M108" s="24"/>
      <c r="N108" s="24"/>
    </row>
    <row r="109" spans="1:14" ht="24">
      <c r="A109" s="12" t="s">
        <v>492</v>
      </c>
      <c r="B109" s="28"/>
      <c r="C109" s="13" t="s">
        <v>493</v>
      </c>
      <c r="D109" s="13" t="s">
        <v>494</v>
      </c>
      <c r="E109" s="14" t="s">
        <v>34</v>
      </c>
      <c r="F109" s="15" t="s">
        <v>35</v>
      </c>
      <c r="G109" s="13" t="s">
        <v>472</v>
      </c>
      <c r="H109" s="13" t="s">
        <v>495</v>
      </c>
      <c r="I109" s="24"/>
      <c r="J109" s="24"/>
      <c r="K109" s="23"/>
      <c r="L109" s="24"/>
      <c r="M109" s="24"/>
      <c r="N109" s="24"/>
    </row>
    <row r="110" spans="1:14" ht="24">
      <c r="A110" s="16" t="s">
        <v>496</v>
      </c>
      <c r="B110" s="28"/>
      <c r="C110" s="17" t="s">
        <v>497</v>
      </c>
      <c r="D110" s="17" t="s">
        <v>498</v>
      </c>
      <c r="E110" s="14" t="s">
        <v>34</v>
      </c>
      <c r="F110" s="15" t="s">
        <v>35</v>
      </c>
      <c r="G110" s="17" t="s">
        <v>472</v>
      </c>
      <c r="H110" s="17" t="s">
        <v>499</v>
      </c>
      <c r="I110" s="24"/>
      <c r="J110" s="24"/>
      <c r="K110" s="23"/>
      <c r="L110" s="24"/>
      <c r="M110" s="24"/>
      <c r="N110" s="24"/>
    </row>
    <row r="111" spans="1:14" ht="24">
      <c r="A111" s="12" t="s">
        <v>500</v>
      </c>
      <c r="B111" s="28"/>
      <c r="C111" s="13" t="s">
        <v>501</v>
      </c>
      <c r="D111" s="13" t="s">
        <v>502</v>
      </c>
      <c r="E111" s="14" t="s">
        <v>34</v>
      </c>
      <c r="F111" s="15" t="s">
        <v>35</v>
      </c>
      <c r="G111" s="13" t="s">
        <v>472</v>
      </c>
      <c r="H111" s="13" t="s">
        <v>503</v>
      </c>
      <c r="I111" s="24"/>
      <c r="J111" s="24"/>
      <c r="K111" s="23"/>
      <c r="L111" s="24"/>
      <c r="M111" s="24"/>
      <c r="N111" s="24"/>
    </row>
    <row r="112" spans="1:14" ht="24">
      <c r="A112" s="16" t="s">
        <v>504</v>
      </c>
      <c r="B112" s="28"/>
      <c r="C112" s="17" t="s">
        <v>505</v>
      </c>
      <c r="D112" s="17" t="s">
        <v>506</v>
      </c>
      <c r="E112" s="14" t="s">
        <v>34</v>
      </c>
      <c r="F112" s="15" t="s">
        <v>35</v>
      </c>
      <c r="G112" s="17" t="s">
        <v>472</v>
      </c>
      <c r="H112" s="17" t="s">
        <v>507</v>
      </c>
      <c r="I112" s="24"/>
      <c r="J112" s="24"/>
      <c r="K112" s="23"/>
      <c r="L112" s="24"/>
      <c r="M112" s="24"/>
      <c r="N112" s="24"/>
    </row>
    <row r="113" spans="1:14" ht="24">
      <c r="A113" s="12" t="s">
        <v>508</v>
      </c>
      <c r="B113" s="28"/>
      <c r="C113" s="13" t="s">
        <v>509</v>
      </c>
      <c r="D113" s="13" t="s">
        <v>510</v>
      </c>
      <c r="E113" s="14" t="s">
        <v>34</v>
      </c>
      <c r="F113" s="15" t="s">
        <v>35</v>
      </c>
      <c r="G113" s="13" t="s">
        <v>472</v>
      </c>
      <c r="H113" s="13" t="s">
        <v>511</v>
      </c>
      <c r="I113" s="24"/>
      <c r="J113" s="24"/>
      <c r="K113" s="23"/>
      <c r="L113" s="24"/>
      <c r="M113" s="24"/>
      <c r="N113" s="24"/>
    </row>
    <row r="114" spans="1:14" ht="24">
      <c r="A114" s="16" t="s">
        <v>512</v>
      </c>
      <c r="B114" s="28"/>
      <c r="C114" s="17" t="s">
        <v>513</v>
      </c>
      <c r="D114" s="17" t="s">
        <v>514</v>
      </c>
      <c r="E114" s="14" t="s">
        <v>34</v>
      </c>
      <c r="F114" s="15" t="s">
        <v>35</v>
      </c>
      <c r="G114" s="17" t="s">
        <v>98</v>
      </c>
      <c r="H114" s="17" t="s">
        <v>515</v>
      </c>
      <c r="I114" s="24"/>
      <c r="J114" s="24"/>
      <c r="K114" s="23"/>
      <c r="L114" s="24"/>
      <c r="M114" s="24"/>
      <c r="N114" s="24"/>
    </row>
    <row r="115" spans="1:14" ht="24" hidden="1">
      <c r="A115" s="12" t="s">
        <v>516</v>
      </c>
      <c r="B115" s="28"/>
      <c r="C115" s="13" t="s">
        <v>517</v>
      </c>
      <c r="D115" s="13" t="s">
        <v>518</v>
      </c>
      <c r="E115" s="19" t="s">
        <v>71</v>
      </c>
      <c r="F115" s="18" t="s">
        <v>57</v>
      </c>
      <c r="G115" s="13" t="s">
        <v>98</v>
      </c>
      <c r="H115" s="13" t="s">
        <v>519</v>
      </c>
      <c r="I115" s="24"/>
      <c r="J115" s="24"/>
      <c r="K115" s="23"/>
      <c r="L115" s="24"/>
      <c r="M115" s="24"/>
      <c r="N115" s="24"/>
    </row>
    <row r="116" spans="1:14" ht="24">
      <c r="A116" s="16" t="s">
        <v>520</v>
      </c>
      <c r="B116" s="28"/>
      <c r="C116" s="17" t="s">
        <v>521</v>
      </c>
      <c r="D116" s="17" t="s">
        <v>522</v>
      </c>
      <c r="E116" s="14" t="s">
        <v>34</v>
      </c>
      <c r="F116" s="15" t="s">
        <v>35</v>
      </c>
      <c r="G116" s="17" t="s">
        <v>472</v>
      </c>
      <c r="H116" s="17" t="s">
        <v>523</v>
      </c>
      <c r="I116" s="24"/>
      <c r="J116" s="24"/>
      <c r="K116" s="23"/>
      <c r="L116" s="24"/>
      <c r="M116" s="24"/>
      <c r="N116" s="24"/>
    </row>
    <row r="117" spans="1:14" ht="24">
      <c r="A117" s="12" t="s">
        <v>524</v>
      </c>
      <c r="B117" s="28"/>
      <c r="C117" s="13" t="s">
        <v>525</v>
      </c>
      <c r="D117" s="13" t="s">
        <v>526</v>
      </c>
      <c r="E117" s="14" t="s">
        <v>34</v>
      </c>
      <c r="F117" s="18" t="s">
        <v>57</v>
      </c>
      <c r="G117" s="13" t="s">
        <v>472</v>
      </c>
      <c r="H117" s="13" t="s">
        <v>527</v>
      </c>
      <c r="I117" s="24"/>
      <c r="J117" s="24"/>
      <c r="K117" s="23"/>
      <c r="L117" s="24"/>
      <c r="M117" s="24"/>
      <c r="N117" s="24"/>
    </row>
    <row r="118" spans="1:14" ht="24">
      <c r="A118" s="16" t="s">
        <v>528</v>
      </c>
      <c r="B118" s="28"/>
      <c r="C118" s="17" t="s">
        <v>529</v>
      </c>
      <c r="D118" s="17" t="s">
        <v>530</v>
      </c>
      <c r="E118" s="14" t="s">
        <v>34</v>
      </c>
      <c r="F118" s="20" t="s">
        <v>57</v>
      </c>
      <c r="G118" s="17" t="s">
        <v>472</v>
      </c>
      <c r="H118" s="17" t="s">
        <v>531</v>
      </c>
      <c r="I118" s="24"/>
      <c r="J118" s="24"/>
      <c r="K118" s="23"/>
      <c r="L118" s="24"/>
      <c r="M118" s="24"/>
      <c r="N118" s="24"/>
    </row>
    <row r="119" spans="1:14" ht="24" hidden="1">
      <c r="A119" s="12" t="s">
        <v>532</v>
      </c>
      <c r="B119" s="28"/>
      <c r="C119" s="13" t="s">
        <v>533</v>
      </c>
      <c r="D119" s="13" t="s">
        <v>534</v>
      </c>
      <c r="E119" s="19" t="s">
        <v>71</v>
      </c>
      <c r="F119" s="18" t="s">
        <v>57</v>
      </c>
      <c r="G119" s="13" t="s">
        <v>472</v>
      </c>
      <c r="H119" s="13" t="s">
        <v>535</v>
      </c>
      <c r="I119" s="24"/>
      <c r="J119" s="24"/>
      <c r="K119" s="23"/>
      <c r="L119" s="24"/>
      <c r="M119" s="24"/>
      <c r="N119" s="24"/>
    </row>
    <row r="120" spans="1:14" ht="24">
      <c r="A120" s="16" t="s">
        <v>536</v>
      </c>
      <c r="B120" s="29"/>
      <c r="C120" s="17" t="s">
        <v>537</v>
      </c>
      <c r="D120" s="17" t="s">
        <v>538</v>
      </c>
      <c r="E120" s="14" t="s">
        <v>34</v>
      </c>
      <c r="F120" s="20" t="s">
        <v>57</v>
      </c>
      <c r="G120" s="17" t="s">
        <v>472</v>
      </c>
      <c r="H120" s="17" t="s">
        <v>539</v>
      </c>
      <c r="I120" s="24"/>
      <c r="J120" s="24"/>
      <c r="K120" s="23"/>
      <c r="L120" s="24"/>
      <c r="M120" s="24"/>
      <c r="N120" s="24"/>
    </row>
    <row r="121" spans="1:14" ht="24">
      <c r="A121" s="12" t="s">
        <v>540</v>
      </c>
      <c r="B121" s="13" t="s">
        <v>541</v>
      </c>
      <c r="C121" s="13" t="s">
        <v>542</v>
      </c>
      <c r="D121" s="13" t="s">
        <v>543</v>
      </c>
      <c r="E121" s="14" t="s">
        <v>34</v>
      </c>
      <c r="F121" s="15" t="s">
        <v>35</v>
      </c>
      <c r="G121" s="13" t="s">
        <v>36</v>
      </c>
      <c r="H121" s="13" t="s">
        <v>544</v>
      </c>
      <c r="I121" s="24" t="s">
        <v>545</v>
      </c>
      <c r="J121" s="23">
        <v>46184</v>
      </c>
      <c r="K121" s="24" t="s">
        <v>546</v>
      </c>
      <c r="L121" s="24" t="s">
        <v>547</v>
      </c>
      <c r="M121" s="23">
        <v>46306</v>
      </c>
      <c r="N121" s="24" t="s">
        <v>548</v>
      </c>
    </row>
    <row r="122" spans="1:14" ht="24">
      <c r="A122" s="16" t="s">
        <v>549</v>
      </c>
      <c r="B122" s="17" t="s">
        <v>541</v>
      </c>
      <c r="C122" s="17" t="s">
        <v>550</v>
      </c>
      <c r="D122" s="17" t="s">
        <v>551</v>
      </c>
      <c r="E122" s="14" t="s">
        <v>34</v>
      </c>
      <c r="F122" s="15" t="s">
        <v>35</v>
      </c>
      <c r="G122" s="17" t="s">
        <v>93</v>
      </c>
      <c r="H122" s="17" t="s">
        <v>552</v>
      </c>
      <c r="I122" s="24"/>
      <c r="J122" s="23"/>
      <c r="K122" s="24"/>
      <c r="L122" s="24"/>
      <c r="M122" s="24"/>
      <c r="N122" s="24"/>
    </row>
    <row r="123" spans="1:14" ht="24">
      <c r="A123" s="12" t="s">
        <v>553</v>
      </c>
      <c r="B123" s="13" t="s">
        <v>541</v>
      </c>
      <c r="C123" s="13" t="s">
        <v>554</v>
      </c>
      <c r="D123" s="13" t="s">
        <v>555</v>
      </c>
      <c r="E123" s="14" t="s">
        <v>34</v>
      </c>
      <c r="F123" s="15" t="s">
        <v>35</v>
      </c>
      <c r="G123" s="13" t="s">
        <v>98</v>
      </c>
      <c r="H123" s="13" t="s">
        <v>556</v>
      </c>
      <c r="I123" s="24"/>
      <c r="J123" s="23"/>
      <c r="K123" s="24"/>
      <c r="L123" s="24"/>
      <c r="M123" s="24"/>
      <c r="N123" s="24"/>
    </row>
    <row r="124" spans="1:14" ht="24">
      <c r="A124" s="16" t="s">
        <v>557</v>
      </c>
      <c r="B124" s="17" t="s">
        <v>541</v>
      </c>
      <c r="C124" s="17" t="s">
        <v>558</v>
      </c>
      <c r="D124" s="17" t="s">
        <v>559</v>
      </c>
      <c r="E124" s="14" t="s">
        <v>34</v>
      </c>
      <c r="F124" s="15" t="s">
        <v>35</v>
      </c>
      <c r="G124" s="17" t="s">
        <v>36</v>
      </c>
      <c r="H124" s="17" t="s">
        <v>560</v>
      </c>
      <c r="I124" s="24"/>
      <c r="J124" s="23"/>
      <c r="K124" s="24"/>
      <c r="L124" s="24"/>
      <c r="M124" s="24"/>
      <c r="N124" s="24"/>
    </row>
    <row r="125" spans="1:14" ht="24">
      <c r="A125" s="12" t="s">
        <v>561</v>
      </c>
      <c r="B125" s="13" t="s">
        <v>541</v>
      </c>
      <c r="C125" s="13" t="s">
        <v>562</v>
      </c>
      <c r="D125" s="13" t="s">
        <v>563</v>
      </c>
      <c r="E125" s="14" t="s">
        <v>34</v>
      </c>
      <c r="F125" s="15" t="s">
        <v>35</v>
      </c>
      <c r="G125" s="13" t="s">
        <v>93</v>
      </c>
      <c r="H125" s="13" t="s">
        <v>564</v>
      </c>
      <c r="I125" s="24"/>
      <c r="J125" s="23"/>
      <c r="K125" s="24"/>
      <c r="L125" s="24"/>
      <c r="M125" s="24"/>
      <c r="N125" s="24"/>
    </row>
    <row r="126" spans="1:14" ht="24" hidden="1">
      <c r="A126" s="16" t="s">
        <v>565</v>
      </c>
      <c r="B126" s="17" t="s">
        <v>541</v>
      </c>
      <c r="C126" s="17" t="s">
        <v>566</v>
      </c>
      <c r="D126" s="17" t="s">
        <v>567</v>
      </c>
      <c r="E126" s="19" t="s">
        <v>71</v>
      </c>
      <c r="F126" s="20" t="s">
        <v>57</v>
      </c>
      <c r="G126" s="17" t="s">
        <v>93</v>
      </c>
      <c r="H126" s="17" t="s">
        <v>568</v>
      </c>
      <c r="I126" s="24"/>
      <c r="J126" s="23"/>
      <c r="K126" s="24"/>
      <c r="L126" s="24"/>
      <c r="M126" s="24"/>
      <c r="N126" s="24"/>
    </row>
    <row r="127" spans="1:14" ht="24" hidden="1">
      <c r="A127" s="12" t="s">
        <v>569</v>
      </c>
      <c r="B127" s="13" t="s">
        <v>541</v>
      </c>
      <c r="C127" s="13" t="s">
        <v>570</v>
      </c>
      <c r="D127" s="13" t="s">
        <v>571</v>
      </c>
      <c r="E127" s="19" t="s">
        <v>71</v>
      </c>
      <c r="F127" s="18" t="s">
        <v>57</v>
      </c>
      <c r="G127" s="13" t="s">
        <v>36</v>
      </c>
      <c r="H127" s="13" t="s">
        <v>572</v>
      </c>
      <c r="I127" s="24"/>
      <c r="J127" s="23"/>
      <c r="K127" s="24"/>
      <c r="L127" s="24"/>
      <c r="M127" s="24"/>
      <c r="N127" s="24"/>
    </row>
    <row r="128" spans="1:14" ht="24">
      <c r="A128" s="16" t="s">
        <v>573</v>
      </c>
      <c r="B128" s="17" t="s">
        <v>574</v>
      </c>
      <c r="C128" s="17" t="s">
        <v>575</v>
      </c>
      <c r="D128" s="17" t="s">
        <v>576</v>
      </c>
      <c r="E128" s="14" t="s">
        <v>34</v>
      </c>
      <c r="F128" s="15" t="s">
        <v>35</v>
      </c>
      <c r="G128" s="17" t="s">
        <v>98</v>
      </c>
      <c r="H128" s="17" t="s">
        <v>577</v>
      </c>
      <c r="I128" s="24"/>
      <c r="J128" s="23"/>
      <c r="K128" s="24"/>
      <c r="L128" s="24"/>
      <c r="M128" s="24"/>
      <c r="N128" s="24"/>
    </row>
    <row r="129" spans="1:14" ht="24">
      <c r="A129" s="12" t="s">
        <v>578</v>
      </c>
      <c r="B129" s="13" t="s">
        <v>574</v>
      </c>
      <c r="C129" s="13" t="s">
        <v>579</v>
      </c>
      <c r="D129" s="13" t="s">
        <v>580</v>
      </c>
      <c r="E129" s="14" t="s">
        <v>34</v>
      </c>
      <c r="F129" s="15" t="s">
        <v>35</v>
      </c>
      <c r="G129" s="13" t="s">
        <v>581</v>
      </c>
      <c r="H129" s="13" t="s">
        <v>582</v>
      </c>
      <c r="I129" s="24"/>
      <c r="J129" s="23"/>
      <c r="K129" s="24"/>
      <c r="L129" s="24"/>
      <c r="M129" s="24"/>
      <c r="N129" s="24"/>
    </row>
    <row r="130" spans="1:14" ht="24">
      <c r="A130" s="16" t="s">
        <v>583</v>
      </c>
      <c r="B130" s="17" t="s">
        <v>574</v>
      </c>
      <c r="C130" s="17" t="s">
        <v>584</v>
      </c>
      <c r="D130" s="17" t="s">
        <v>585</v>
      </c>
      <c r="E130" s="14" t="s">
        <v>34</v>
      </c>
      <c r="F130" s="15" t="s">
        <v>35</v>
      </c>
      <c r="G130" s="17" t="s">
        <v>472</v>
      </c>
      <c r="H130" s="17" t="s">
        <v>586</v>
      </c>
      <c r="I130" s="24"/>
      <c r="J130" s="23"/>
      <c r="K130" s="24"/>
      <c r="L130" s="24"/>
      <c r="M130" s="24"/>
      <c r="N130" s="24"/>
    </row>
    <row r="131" spans="1:14" ht="24">
      <c r="A131" s="12" t="s">
        <v>587</v>
      </c>
      <c r="B131" s="13" t="s">
        <v>574</v>
      </c>
      <c r="C131" s="13" t="s">
        <v>588</v>
      </c>
      <c r="D131" s="13" t="s">
        <v>589</v>
      </c>
      <c r="E131" s="14" t="s">
        <v>34</v>
      </c>
      <c r="F131" s="18" t="s">
        <v>57</v>
      </c>
      <c r="G131" s="13" t="s">
        <v>472</v>
      </c>
      <c r="H131" s="13" t="s">
        <v>590</v>
      </c>
      <c r="I131" s="24"/>
      <c r="J131" s="23"/>
      <c r="K131" s="24"/>
      <c r="L131" s="24"/>
      <c r="M131" s="24"/>
      <c r="N131" s="24"/>
    </row>
    <row r="132" spans="1:14" ht="24" hidden="1">
      <c r="A132" s="16" t="s">
        <v>591</v>
      </c>
      <c r="B132" s="17" t="s">
        <v>574</v>
      </c>
      <c r="C132" s="17" t="s">
        <v>592</v>
      </c>
      <c r="D132" s="17" t="s">
        <v>593</v>
      </c>
      <c r="E132" s="19" t="s">
        <v>71</v>
      </c>
      <c r="F132" s="20" t="s">
        <v>57</v>
      </c>
      <c r="G132" s="17" t="s">
        <v>472</v>
      </c>
      <c r="H132" s="17" t="s">
        <v>594</v>
      </c>
      <c r="I132" s="24"/>
      <c r="J132" s="23"/>
      <c r="K132" s="24"/>
      <c r="L132" s="24"/>
      <c r="M132" s="24"/>
      <c r="N132" s="24"/>
    </row>
    <row r="133" spans="1:14" ht="24">
      <c r="A133" s="12" t="s">
        <v>595</v>
      </c>
      <c r="B133" s="13" t="s">
        <v>574</v>
      </c>
      <c r="C133" s="13" t="s">
        <v>596</v>
      </c>
      <c r="D133" s="13" t="s">
        <v>597</v>
      </c>
      <c r="E133" s="14" t="s">
        <v>34</v>
      </c>
      <c r="F133" s="15" t="s">
        <v>35</v>
      </c>
      <c r="G133" s="13" t="s">
        <v>98</v>
      </c>
      <c r="H133" s="13" t="s">
        <v>598</v>
      </c>
      <c r="I133" s="24" t="s">
        <v>599</v>
      </c>
      <c r="J133" s="24" t="s">
        <v>600</v>
      </c>
      <c r="K133" s="24" t="s">
        <v>601</v>
      </c>
      <c r="L133" s="24" t="s">
        <v>547</v>
      </c>
      <c r="M133" s="24" t="s">
        <v>602</v>
      </c>
      <c r="N133" s="23" t="s">
        <v>603</v>
      </c>
    </row>
    <row r="134" spans="1:14" ht="24">
      <c r="A134" s="16" t="s">
        <v>604</v>
      </c>
      <c r="B134" s="17" t="s">
        <v>574</v>
      </c>
      <c r="C134" s="17" t="s">
        <v>605</v>
      </c>
      <c r="D134" s="17" t="s">
        <v>606</v>
      </c>
      <c r="E134" s="14" t="s">
        <v>34</v>
      </c>
      <c r="F134" s="15" t="s">
        <v>35</v>
      </c>
      <c r="G134" s="17" t="s">
        <v>93</v>
      </c>
      <c r="H134" s="17" t="s">
        <v>607</v>
      </c>
      <c r="I134" s="24"/>
      <c r="J134" s="24"/>
      <c r="K134" s="24"/>
      <c r="L134" s="24"/>
      <c r="M134" s="24"/>
      <c r="N134" s="24"/>
    </row>
    <row r="135" spans="1:14" ht="24">
      <c r="A135" s="12" t="s">
        <v>608</v>
      </c>
      <c r="B135" s="13" t="s">
        <v>574</v>
      </c>
      <c r="C135" s="13" t="s">
        <v>609</v>
      </c>
      <c r="D135" s="13" t="s">
        <v>610</v>
      </c>
      <c r="E135" s="14" t="s">
        <v>34</v>
      </c>
      <c r="F135" s="15" t="s">
        <v>35</v>
      </c>
      <c r="G135" s="13" t="s">
        <v>93</v>
      </c>
      <c r="H135" s="13" t="s">
        <v>611</v>
      </c>
      <c r="I135" s="24"/>
      <c r="J135" s="24"/>
      <c r="K135" s="24"/>
      <c r="L135" s="24"/>
      <c r="M135" s="24"/>
      <c r="N135" s="24"/>
    </row>
    <row r="136" spans="1:14" ht="24" hidden="1">
      <c r="A136" s="16" t="s">
        <v>612</v>
      </c>
      <c r="B136" s="17" t="s">
        <v>574</v>
      </c>
      <c r="C136" s="17" t="s">
        <v>613</v>
      </c>
      <c r="D136" s="17" t="s">
        <v>614</v>
      </c>
      <c r="E136" s="19" t="s">
        <v>71</v>
      </c>
      <c r="F136" s="20" t="s">
        <v>57</v>
      </c>
      <c r="G136" s="17" t="s">
        <v>98</v>
      </c>
      <c r="H136" s="17" t="s">
        <v>615</v>
      </c>
      <c r="I136" s="24"/>
      <c r="J136" s="24"/>
      <c r="K136" s="24"/>
      <c r="L136" s="24"/>
      <c r="M136" s="24"/>
      <c r="N136" s="24"/>
    </row>
    <row r="137" spans="1:14" ht="24">
      <c r="A137" s="12" t="s">
        <v>616</v>
      </c>
      <c r="B137" s="13" t="s">
        <v>574</v>
      </c>
      <c r="C137" s="13" t="s">
        <v>617</v>
      </c>
      <c r="D137" s="13" t="s">
        <v>618</v>
      </c>
      <c r="E137" s="14" t="s">
        <v>34</v>
      </c>
      <c r="F137" s="15" t="s">
        <v>35</v>
      </c>
      <c r="G137" s="13" t="s">
        <v>36</v>
      </c>
      <c r="H137" s="13" t="s">
        <v>619</v>
      </c>
      <c r="I137" s="24"/>
      <c r="J137" s="24"/>
      <c r="K137" s="24"/>
      <c r="L137" s="24"/>
      <c r="M137" s="24"/>
      <c r="N137" s="24"/>
    </row>
    <row r="138" spans="1:14" ht="24">
      <c r="A138" s="16" t="s">
        <v>620</v>
      </c>
      <c r="B138" s="17" t="s">
        <v>574</v>
      </c>
      <c r="C138" s="17" t="s">
        <v>621</v>
      </c>
      <c r="D138" s="17" t="s">
        <v>622</v>
      </c>
      <c r="E138" s="14" t="s">
        <v>34</v>
      </c>
      <c r="F138" s="15" t="s">
        <v>35</v>
      </c>
      <c r="G138" s="17" t="s">
        <v>66</v>
      </c>
      <c r="H138" s="17" t="s">
        <v>623</v>
      </c>
      <c r="I138" s="24"/>
      <c r="J138" s="24"/>
      <c r="K138" s="24"/>
      <c r="L138" s="24"/>
      <c r="M138" s="24"/>
      <c r="N138" s="24"/>
    </row>
    <row r="139" spans="1:14" ht="24" hidden="1">
      <c r="A139" s="12" t="s">
        <v>624</v>
      </c>
      <c r="B139" s="13" t="s">
        <v>574</v>
      </c>
      <c r="C139" s="13" t="s">
        <v>625</v>
      </c>
      <c r="D139" s="13" t="s">
        <v>626</v>
      </c>
      <c r="E139" s="19" t="s">
        <v>71</v>
      </c>
      <c r="F139" s="15" t="s">
        <v>35</v>
      </c>
      <c r="G139" s="13" t="s">
        <v>581</v>
      </c>
      <c r="H139" s="13" t="s">
        <v>627</v>
      </c>
      <c r="I139" s="24"/>
      <c r="J139" s="24"/>
      <c r="K139" s="24"/>
      <c r="L139" s="24"/>
      <c r="M139" s="24"/>
      <c r="N139" s="24"/>
    </row>
    <row r="140" spans="1:14" ht="24">
      <c r="A140" s="16" t="s">
        <v>628</v>
      </c>
      <c r="B140" s="17" t="s">
        <v>629</v>
      </c>
      <c r="C140" s="17" t="s">
        <v>630</v>
      </c>
      <c r="D140" s="17" t="s">
        <v>631</v>
      </c>
      <c r="E140" s="14" t="s">
        <v>34</v>
      </c>
      <c r="F140" s="15" t="s">
        <v>35</v>
      </c>
      <c r="G140" s="17" t="s">
        <v>93</v>
      </c>
      <c r="H140" s="17" t="s">
        <v>632</v>
      </c>
      <c r="I140" s="24"/>
      <c r="J140" s="24"/>
      <c r="K140" s="24"/>
      <c r="L140" s="24"/>
      <c r="M140" s="24"/>
      <c r="N140" s="24"/>
    </row>
    <row r="141" spans="1:14" ht="24">
      <c r="A141" s="12" t="s">
        <v>633</v>
      </c>
      <c r="B141" s="13" t="s">
        <v>629</v>
      </c>
      <c r="C141" s="13" t="s">
        <v>634</v>
      </c>
      <c r="D141" s="13" t="s">
        <v>635</v>
      </c>
      <c r="E141" s="14" t="s">
        <v>34</v>
      </c>
      <c r="F141" s="18" t="s">
        <v>57</v>
      </c>
      <c r="G141" s="13" t="s">
        <v>98</v>
      </c>
      <c r="H141" s="13" t="s">
        <v>636</v>
      </c>
      <c r="I141" s="24"/>
      <c r="J141" s="24"/>
      <c r="K141" s="24"/>
      <c r="L141" s="24"/>
      <c r="M141" s="24"/>
      <c r="N141" s="24"/>
    </row>
    <row r="142" spans="1:14" ht="24">
      <c r="A142" s="16" t="s">
        <v>637</v>
      </c>
      <c r="B142" s="17" t="s">
        <v>629</v>
      </c>
      <c r="C142" s="17" t="s">
        <v>638</v>
      </c>
      <c r="D142" s="17" t="s">
        <v>639</v>
      </c>
      <c r="E142" s="14" t="s">
        <v>34</v>
      </c>
      <c r="F142" s="15" t="s">
        <v>35</v>
      </c>
      <c r="G142" s="17" t="s">
        <v>472</v>
      </c>
      <c r="H142" s="17" t="s">
        <v>640</v>
      </c>
      <c r="I142" s="24"/>
      <c r="J142" s="24"/>
      <c r="K142" s="24"/>
      <c r="L142" s="24"/>
      <c r="M142" s="24"/>
      <c r="N142" s="24"/>
    </row>
    <row r="143" spans="1:14" ht="24">
      <c r="A143" s="12" t="s">
        <v>641</v>
      </c>
      <c r="B143" s="13" t="s">
        <v>629</v>
      </c>
      <c r="C143" s="13" t="s">
        <v>642</v>
      </c>
      <c r="D143" s="13" t="s">
        <v>643</v>
      </c>
      <c r="E143" s="14" t="s">
        <v>34</v>
      </c>
      <c r="F143" s="15" t="s">
        <v>35</v>
      </c>
      <c r="G143" s="13" t="s">
        <v>93</v>
      </c>
      <c r="H143" s="13" t="s">
        <v>644</v>
      </c>
      <c r="I143" s="24"/>
      <c r="J143" s="24"/>
      <c r="K143" s="24"/>
      <c r="L143" s="24"/>
      <c r="M143" s="24"/>
      <c r="N143" s="24"/>
    </row>
    <row r="144" spans="1:14" ht="24">
      <c r="A144" s="16" t="s">
        <v>645</v>
      </c>
      <c r="B144" s="17" t="s">
        <v>629</v>
      </c>
      <c r="C144" s="17" t="s">
        <v>646</v>
      </c>
      <c r="D144" s="17" t="s">
        <v>647</v>
      </c>
      <c r="E144" s="14" t="s">
        <v>34</v>
      </c>
      <c r="F144" s="15" t="s">
        <v>35</v>
      </c>
      <c r="G144" s="17" t="s">
        <v>648</v>
      </c>
      <c r="H144" s="17" t="s">
        <v>649</v>
      </c>
      <c r="I144" s="24"/>
      <c r="J144" s="24"/>
      <c r="K144" s="24"/>
      <c r="L144" s="24"/>
      <c r="M144" s="24"/>
      <c r="N144" s="24"/>
    </row>
    <row r="145" spans="1:14" ht="24">
      <c r="A145" s="12" t="s">
        <v>650</v>
      </c>
      <c r="B145" s="13" t="s">
        <v>629</v>
      </c>
      <c r="C145" s="13" t="s">
        <v>651</v>
      </c>
      <c r="D145" s="13" t="s">
        <v>652</v>
      </c>
      <c r="E145" s="14" t="s">
        <v>34</v>
      </c>
      <c r="F145" s="15" t="s">
        <v>35</v>
      </c>
      <c r="G145" s="13" t="s">
        <v>648</v>
      </c>
      <c r="H145" s="13" t="s">
        <v>653</v>
      </c>
      <c r="I145" s="24"/>
      <c r="J145" s="24"/>
      <c r="K145" s="24"/>
      <c r="L145" s="24"/>
      <c r="M145" s="24"/>
      <c r="N145" s="24"/>
    </row>
    <row r="146" spans="1:14" ht="24">
      <c r="A146" s="16" t="s">
        <v>654</v>
      </c>
      <c r="B146" s="17" t="s">
        <v>629</v>
      </c>
      <c r="C146" s="17" t="s">
        <v>655</v>
      </c>
      <c r="D146" s="17" t="s">
        <v>656</v>
      </c>
      <c r="E146" s="14" t="s">
        <v>34</v>
      </c>
      <c r="F146" s="15" t="s">
        <v>35</v>
      </c>
      <c r="G146" s="17" t="s">
        <v>252</v>
      </c>
      <c r="H146" s="17" t="s">
        <v>657</v>
      </c>
      <c r="I146" s="24"/>
      <c r="J146" s="24"/>
      <c r="K146" s="24"/>
      <c r="L146" s="24"/>
      <c r="M146" s="24"/>
      <c r="N146" s="24"/>
    </row>
    <row r="147" spans="1:14" ht="24">
      <c r="A147" s="12" t="s">
        <v>658</v>
      </c>
      <c r="B147" s="13" t="s">
        <v>629</v>
      </c>
      <c r="C147" s="13" t="s">
        <v>659</v>
      </c>
      <c r="D147" s="13" t="s">
        <v>660</v>
      </c>
      <c r="E147" s="14" t="s">
        <v>34</v>
      </c>
      <c r="F147" s="18" t="s">
        <v>57</v>
      </c>
      <c r="G147" s="13" t="s">
        <v>648</v>
      </c>
      <c r="H147" s="13" t="s">
        <v>661</v>
      </c>
      <c r="I147" s="24"/>
      <c r="J147" s="24"/>
      <c r="K147" s="24"/>
      <c r="L147" s="24"/>
      <c r="M147" s="24"/>
      <c r="N147" s="24"/>
    </row>
    <row r="148" spans="1:14" ht="24" hidden="1">
      <c r="A148" s="16" t="s">
        <v>662</v>
      </c>
      <c r="B148" s="17" t="s">
        <v>629</v>
      </c>
      <c r="C148" s="17" t="s">
        <v>663</v>
      </c>
      <c r="D148" s="17" t="s">
        <v>664</v>
      </c>
      <c r="E148" s="21" t="s">
        <v>143</v>
      </c>
      <c r="F148" s="20" t="s">
        <v>144</v>
      </c>
      <c r="G148" s="17" t="s">
        <v>581</v>
      </c>
      <c r="H148" s="17" t="s">
        <v>665</v>
      </c>
      <c r="I148" s="24"/>
      <c r="J148" s="24"/>
      <c r="K148" s="24"/>
      <c r="L148" s="24"/>
      <c r="M148" s="24"/>
      <c r="N148" s="24"/>
    </row>
    <row r="149" spans="1:14" ht="24">
      <c r="A149" s="12" t="s">
        <v>666</v>
      </c>
      <c r="B149" s="13" t="s">
        <v>667</v>
      </c>
      <c r="C149" s="13" t="s">
        <v>668</v>
      </c>
      <c r="D149" s="13" t="s">
        <v>669</v>
      </c>
      <c r="E149" s="14" t="s">
        <v>34</v>
      </c>
      <c r="F149" s="15" t="s">
        <v>35</v>
      </c>
      <c r="G149" s="13" t="s">
        <v>98</v>
      </c>
      <c r="H149" s="13" t="s">
        <v>670</v>
      </c>
      <c r="I149" s="24" t="s">
        <v>671</v>
      </c>
      <c r="J149" s="23" t="s">
        <v>672</v>
      </c>
      <c r="K149" s="23" t="s">
        <v>673</v>
      </c>
      <c r="L149" s="24" t="s">
        <v>41</v>
      </c>
      <c r="M149" s="23" t="s">
        <v>674</v>
      </c>
      <c r="N149" s="23">
        <v>46065</v>
      </c>
    </row>
    <row r="150" spans="1:14" ht="24">
      <c r="A150" s="16" t="s">
        <v>675</v>
      </c>
      <c r="B150" s="17" t="s">
        <v>667</v>
      </c>
      <c r="C150" s="17" t="s">
        <v>676</v>
      </c>
      <c r="D150" s="17" t="s">
        <v>677</v>
      </c>
      <c r="E150" s="14" t="s">
        <v>34</v>
      </c>
      <c r="F150" s="15" t="s">
        <v>35</v>
      </c>
      <c r="G150" s="17" t="s">
        <v>98</v>
      </c>
      <c r="H150" s="17" t="s">
        <v>678</v>
      </c>
      <c r="I150" s="24"/>
      <c r="J150" s="24"/>
      <c r="K150" s="23"/>
      <c r="L150" s="24"/>
      <c r="M150" s="24"/>
      <c r="N150" s="24"/>
    </row>
    <row r="151" spans="1:14" ht="24">
      <c r="A151" s="12" t="s">
        <v>679</v>
      </c>
      <c r="B151" s="13" t="s">
        <v>667</v>
      </c>
      <c r="C151" s="13" t="s">
        <v>680</v>
      </c>
      <c r="D151" s="13" t="s">
        <v>681</v>
      </c>
      <c r="E151" s="14" t="s">
        <v>34</v>
      </c>
      <c r="F151" s="15" t="s">
        <v>35</v>
      </c>
      <c r="G151" s="13" t="s">
        <v>472</v>
      </c>
      <c r="H151" s="13" t="s">
        <v>682</v>
      </c>
      <c r="I151" s="24"/>
      <c r="J151" s="24"/>
      <c r="K151" s="23"/>
      <c r="L151" s="24"/>
      <c r="M151" s="24"/>
      <c r="N151" s="24"/>
    </row>
    <row r="152" spans="1:14" ht="24" hidden="1">
      <c r="A152" s="16" t="s">
        <v>683</v>
      </c>
      <c r="B152" s="17" t="s">
        <v>667</v>
      </c>
      <c r="C152" s="17" t="s">
        <v>684</v>
      </c>
      <c r="D152" s="17" t="s">
        <v>685</v>
      </c>
      <c r="E152" s="19" t="s">
        <v>71</v>
      </c>
      <c r="F152" s="20" t="s">
        <v>57</v>
      </c>
      <c r="G152" s="17" t="s">
        <v>98</v>
      </c>
      <c r="H152" s="17" t="s">
        <v>686</v>
      </c>
      <c r="I152" s="24"/>
      <c r="J152" s="24"/>
      <c r="K152" s="23"/>
      <c r="L152" s="24"/>
      <c r="M152" s="24"/>
      <c r="N152" s="24"/>
    </row>
    <row r="153" spans="1:14" ht="24">
      <c r="A153" s="12" t="s">
        <v>687</v>
      </c>
      <c r="B153" s="13" t="s">
        <v>667</v>
      </c>
      <c r="C153" s="13" t="s">
        <v>688</v>
      </c>
      <c r="D153" s="13" t="s">
        <v>689</v>
      </c>
      <c r="E153" s="14" t="s">
        <v>34</v>
      </c>
      <c r="F153" s="15" t="s">
        <v>35</v>
      </c>
      <c r="G153" s="13" t="s">
        <v>690</v>
      </c>
      <c r="H153" s="13" t="s">
        <v>691</v>
      </c>
      <c r="I153" s="24"/>
      <c r="J153" s="24"/>
      <c r="K153" s="23"/>
      <c r="L153" s="24"/>
      <c r="M153" s="24"/>
      <c r="N153" s="24"/>
    </row>
    <row r="154" spans="1:14" ht="24">
      <c r="A154" s="16" t="s">
        <v>692</v>
      </c>
      <c r="B154" s="17" t="s">
        <v>667</v>
      </c>
      <c r="C154" s="17" t="s">
        <v>693</v>
      </c>
      <c r="D154" s="17" t="s">
        <v>694</v>
      </c>
      <c r="E154" s="14" t="s">
        <v>34</v>
      </c>
      <c r="F154" s="20" t="s">
        <v>57</v>
      </c>
      <c r="G154" s="17" t="s">
        <v>690</v>
      </c>
      <c r="H154" s="17" t="s">
        <v>695</v>
      </c>
      <c r="I154" s="24"/>
      <c r="J154" s="24"/>
      <c r="K154" s="23"/>
      <c r="L154" s="24"/>
      <c r="M154" s="24"/>
      <c r="N154" s="24"/>
    </row>
    <row r="155" spans="1:14" ht="24">
      <c r="A155" s="12" t="s">
        <v>696</v>
      </c>
      <c r="B155" s="13" t="s">
        <v>667</v>
      </c>
      <c r="C155" s="13" t="s">
        <v>697</v>
      </c>
      <c r="D155" s="13" t="s">
        <v>698</v>
      </c>
      <c r="E155" s="14" t="s">
        <v>34</v>
      </c>
      <c r="F155" s="15" t="s">
        <v>35</v>
      </c>
      <c r="G155" s="13" t="s">
        <v>81</v>
      </c>
      <c r="H155" s="13" t="s">
        <v>699</v>
      </c>
      <c r="I155" s="24"/>
      <c r="J155" s="24"/>
      <c r="K155" s="23"/>
      <c r="L155" s="24"/>
      <c r="M155" s="24"/>
      <c r="N155" s="24"/>
    </row>
    <row r="156" spans="1:14" ht="24" hidden="1">
      <c r="A156" s="16" t="s">
        <v>700</v>
      </c>
      <c r="B156" s="17" t="s">
        <v>667</v>
      </c>
      <c r="C156" s="17" t="s">
        <v>701</v>
      </c>
      <c r="D156" s="17" t="s">
        <v>702</v>
      </c>
      <c r="E156" s="19" t="s">
        <v>71</v>
      </c>
      <c r="F156" s="20" t="s">
        <v>57</v>
      </c>
      <c r="G156" s="17" t="s">
        <v>93</v>
      </c>
      <c r="H156" s="17" t="s">
        <v>703</v>
      </c>
      <c r="I156" s="24"/>
      <c r="J156" s="24"/>
      <c r="K156" s="23"/>
      <c r="L156" s="24"/>
      <c r="M156" s="24"/>
      <c r="N156" s="24"/>
    </row>
    <row r="157" spans="1:14" ht="24">
      <c r="A157" s="12" t="s">
        <v>704</v>
      </c>
      <c r="B157" s="13" t="s">
        <v>705</v>
      </c>
      <c r="C157" s="13" t="s">
        <v>706</v>
      </c>
      <c r="D157" s="13" t="s">
        <v>707</v>
      </c>
      <c r="E157" s="14" t="s">
        <v>34</v>
      </c>
      <c r="F157" s="15" t="s">
        <v>35</v>
      </c>
      <c r="G157" s="13" t="s">
        <v>690</v>
      </c>
      <c r="H157" s="13" t="s">
        <v>708</v>
      </c>
      <c r="I157" s="24" t="s">
        <v>709</v>
      </c>
      <c r="J157" s="23" t="s">
        <v>710</v>
      </c>
      <c r="K157" s="23">
        <v>46154</v>
      </c>
      <c r="L157" s="24" t="s">
        <v>41</v>
      </c>
      <c r="M157" s="23">
        <v>46093</v>
      </c>
      <c r="N157" s="23">
        <v>46307</v>
      </c>
    </row>
    <row r="158" spans="1:14" ht="24">
      <c r="A158" s="16" t="s">
        <v>711</v>
      </c>
      <c r="B158" s="17" t="s">
        <v>705</v>
      </c>
      <c r="C158" s="17" t="s">
        <v>712</v>
      </c>
      <c r="D158" s="17" t="s">
        <v>713</v>
      </c>
      <c r="E158" s="14" t="s">
        <v>34</v>
      </c>
      <c r="F158" s="15" t="s">
        <v>35</v>
      </c>
      <c r="G158" s="17" t="s">
        <v>690</v>
      </c>
      <c r="H158" s="17" t="s">
        <v>714</v>
      </c>
      <c r="I158" s="24"/>
      <c r="J158" s="24"/>
      <c r="K158" s="23"/>
      <c r="L158" s="24"/>
      <c r="M158" s="24"/>
      <c r="N158" s="24"/>
    </row>
    <row r="159" spans="1:14" ht="24">
      <c r="A159" s="12" t="s">
        <v>715</v>
      </c>
      <c r="B159" s="13" t="s">
        <v>705</v>
      </c>
      <c r="C159" s="13" t="s">
        <v>716</v>
      </c>
      <c r="D159" s="13" t="s">
        <v>717</v>
      </c>
      <c r="E159" s="14" t="s">
        <v>34</v>
      </c>
      <c r="F159" s="15" t="s">
        <v>35</v>
      </c>
      <c r="G159" s="13" t="s">
        <v>690</v>
      </c>
      <c r="H159" s="13" t="s">
        <v>718</v>
      </c>
      <c r="I159" s="24"/>
      <c r="J159" s="24"/>
      <c r="K159" s="23"/>
      <c r="L159" s="24"/>
      <c r="M159" s="24"/>
      <c r="N159" s="24"/>
    </row>
    <row r="160" spans="1:14" ht="24">
      <c r="A160" s="16" t="s">
        <v>719</v>
      </c>
      <c r="B160" s="17" t="s">
        <v>705</v>
      </c>
      <c r="C160" s="17" t="s">
        <v>720</v>
      </c>
      <c r="D160" s="17" t="s">
        <v>721</v>
      </c>
      <c r="E160" s="14" t="s">
        <v>34</v>
      </c>
      <c r="F160" s="15" t="s">
        <v>35</v>
      </c>
      <c r="G160" s="17" t="s">
        <v>690</v>
      </c>
      <c r="H160" s="17" t="s">
        <v>722</v>
      </c>
      <c r="I160" s="24"/>
      <c r="J160" s="24"/>
      <c r="K160" s="23"/>
      <c r="L160" s="24"/>
      <c r="M160" s="24"/>
      <c r="N160" s="24"/>
    </row>
    <row r="161" spans="1:14" ht="24" hidden="1">
      <c r="A161" s="12" t="s">
        <v>723</v>
      </c>
      <c r="B161" s="13" t="s">
        <v>705</v>
      </c>
      <c r="C161" s="13" t="s">
        <v>724</v>
      </c>
      <c r="D161" s="13" t="s">
        <v>725</v>
      </c>
      <c r="E161" s="19" t="s">
        <v>71</v>
      </c>
      <c r="F161" s="15" t="s">
        <v>35</v>
      </c>
      <c r="G161" s="13" t="s">
        <v>690</v>
      </c>
      <c r="H161" s="13" t="s">
        <v>726</v>
      </c>
      <c r="I161" s="24"/>
      <c r="J161" s="24"/>
      <c r="K161" s="23"/>
      <c r="L161" s="24"/>
      <c r="M161" s="24"/>
      <c r="N161" s="24"/>
    </row>
    <row r="162" spans="1:14" ht="24">
      <c r="A162" s="16" t="s">
        <v>727</v>
      </c>
      <c r="B162" s="17" t="s">
        <v>705</v>
      </c>
      <c r="C162" s="17" t="s">
        <v>728</v>
      </c>
      <c r="D162" s="17" t="s">
        <v>729</v>
      </c>
      <c r="E162" s="14" t="s">
        <v>34</v>
      </c>
      <c r="F162" s="15" t="s">
        <v>35</v>
      </c>
      <c r="G162" s="17" t="s">
        <v>36</v>
      </c>
      <c r="H162" s="17" t="s">
        <v>730</v>
      </c>
      <c r="I162" s="24"/>
      <c r="J162" s="24"/>
      <c r="K162" s="23"/>
      <c r="L162" s="24"/>
      <c r="M162" s="24"/>
      <c r="N162" s="24"/>
    </row>
    <row r="163" spans="1:14" ht="24" hidden="1">
      <c r="A163" s="12" t="s">
        <v>731</v>
      </c>
      <c r="B163" s="13" t="s">
        <v>705</v>
      </c>
      <c r="C163" s="13" t="s">
        <v>732</v>
      </c>
      <c r="D163" s="13" t="s">
        <v>733</v>
      </c>
      <c r="E163" s="21" t="s">
        <v>143</v>
      </c>
      <c r="F163" s="18" t="s">
        <v>144</v>
      </c>
      <c r="G163" s="13" t="s">
        <v>690</v>
      </c>
      <c r="H163" s="13" t="s">
        <v>734</v>
      </c>
      <c r="I163" s="24"/>
      <c r="J163" s="24"/>
      <c r="K163" s="23"/>
      <c r="L163" s="24"/>
      <c r="M163" s="24"/>
      <c r="N163" s="24"/>
    </row>
    <row r="164" spans="1:14" ht="24">
      <c r="A164" s="16" t="s">
        <v>735</v>
      </c>
      <c r="B164" s="17" t="s">
        <v>705</v>
      </c>
      <c r="C164" s="17" t="s">
        <v>736</v>
      </c>
      <c r="D164" s="17" t="s">
        <v>737</v>
      </c>
      <c r="E164" s="14" t="s">
        <v>34</v>
      </c>
      <c r="F164" s="15" t="s">
        <v>35</v>
      </c>
      <c r="G164" s="17" t="s">
        <v>690</v>
      </c>
      <c r="H164" s="17" t="s">
        <v>738</v>
      </c>
      <c r="I164" s="24"/>
      <c r="J164" s="24"/>
      <c r="K164" s="23"/>
      <c r="L164" s="24"/>
      <c r="M164" s="24"/>
      <c r="N164" s="24"/>
    </row>
    <row r="165" spans="1:14" ht="24" hidden="1">
      <c r="A165" s="12" t="s">
        <v>739</v>
      </c>
      <c r="B165" s="13" t="s">
        <v>705</v>
      </c>
      <c r="C165" s="13" t="s">
        <v>740</v>
      </c>
      <c r="D165" s="13" t="s">
        <v>741</v>
      </c>
      <c r="E165" s="19" t="s">
        <v>71</v>
      </c>
      <c r="F165" s="18" t="s">
        <v>57</v>
      </c>
      <c r="G165" s="13" t="s">
        <v>690</v>
      </c>
      <c r="H165" s="13" t="s">
        <v>742</v>
      </c>
      <c r="I165" s="24"/>
      <c r="J165" s="24"/>
      <c r="K165" s="23"/>
      <c r="L165" s="24"/>
      <c r="M165" s="24"/>
      <c r="N165" s="24"/>
    </row>
    <row r="166" spans="1:14" ht="24" hidden="1">
      <c r="A166" s="16" t="s">
        <v>743</v>
      </c>
      <c r="B166" s="17" t="s">
        <v>705</v>
      </c>
      <c r="C166" s="17" t="s">
        <v>744</v>
      </c>
      <c r="D166" s="17" t="s">
        <v>745</v>
      </c>
      <c r="E166" s="19" t="s">
        <v>71</v>
      </c>
      <c r="F166" s="20" t="s">
        <v>144</v>
      </c>
      <c r="G166" s="17" t="s">
        <v>690</v>
      </c>
      <c r="H166" s="17" t="s">
        <v>746</v>
      </c>
      <c r="I166" s="24"/>
      <c r="J166" s="24"/>
      <c r="K166" s="23"/>
      <c r="L166" s="24"/>
      <c r="M166" s="24"/>
      <c r="N166" s="24"/>
    </row>
    <row r="167" spans="1:14" ht="24" hidden="1">
      <c r="A167" s="12" t="s">
        <v>747</v>
      </c>
      <c r="B167" s="13" t="s">
        <v>705</v>
      </c>
      <c r="C167" s="13" t="s">
        <v>748</v>
      </c>
      <c r="D167" s="13" t="s">
        <v>749</v>
      </c>
      <c r="E167" s="19" t="s">
        <v>71</v>
      </c>
      <c r="F167" s="18" t="s">
        <v>57</v>
      </c>
      <c r="G167" s="13" t="s">
        <v>690</v>
      </c>
      <c r="H167" s="13" t="s">
        <v>750</v>
      </c>
      <c r="I167" s="24"/>
      <c r="J167" s="24"/>
      <c r="K167" s="23"/>
      <c r="L167" s="24"/>
      <c r="M167" s="24"/>
      <c r="N167" s="24"/>
    </row>
    <row r="168" spans="1:14" ht="24">
      <c r="A168" s="16" t="s">
        <v>751</v>
      </c>
      <c r="B168" s="17" t="s">
        <v>705</v>
      </c>
      <c r="C168" s="17" t="s">
        <v>752</v>
      </c>
      <c r="D168" s="17" t="s">
        <v>753</v>
      </c>
      <c r="E168" s="14" t="s">
        <v>34</v>
      </c>
      <c r="F168" s="15" t="s">
        <v>35</v>
      </c>
      <c r="G168" s="17" t="s">
        <v>690</v>
      </c>
      <c r="H168" s="17" t="s">
        <v>754</v>
      </c>
      <c r="I168" s="24"/>
      <c r="J168" s="24"/>
      <c r="K168" s="23"/>
      <c r="L168" s="24"/>
      <c r="M168" s="24"/>
      <c r="N168" s="24"/>
    </row>
    <row r="169" spans="1:14" ht="24">
      <c r="A169" s="12" t="s">
        <v>755</v>
      </c>
      <c r="B169" s="13" t="s">
        <v>705</v>
      </c>
      <c r="C169" s="13" t="s">
        <v>756</v>
      </c>
      <c r="D169" s="13" t="s">
        <v>757</v>
      </c>
      <c r="E169" s="14" t="s">
        <v>34</v>
      </c>
      <c r="F169" s="15" t="s">
        <v>35</v>
      </c>
      <c r="G169" s="13" t="s">
        <v>472</v>
      </c>
      <c r="H169" s="13" t="s">
        <v>758</v>
      </c>
      <c r="I169" s="24"/>
      <c r="J169" s="24"/>
      <c r="K169" s="23"/>
      <c r="L169" s="24"/>
      <c r="M169" s="24"/>
      <c r="N169" s="24"/>
    </row>
    <row r="170" spans="1:14" ht="24">
      <c r="A170" s="16" t="s">
        <v>759</v>
      </c>
      <c r="B170" s="17" t="s">
        <v>705</v>
      </c>
      <c r="C170" s="17" t="s">
        <v>760</v>
      </c>
      <c r="D170" s="17" t="s">
        <v>761</v>
      </c>
      <c r="E170" s="14" t="s">
        <v>34</v>
      </c>
      <c r="F170" s="15" t="s">
        <v>35</v>
      </c>
      <c r="G170" s="17" t="s">
        <v>472</v>
      </c>
      <c r="H170" s="17" t="s">
        <v>762</v>
      </c>
      <c r="I170" s="24"/>
      <c r="J170" s="24"/>
      <c r="K170" s="23"/>
      <c r="L170" s="24"/>
      <c r="M170" s="24"/>
      <c r="N170" s="24"/>
    </row>
    <row r="171" spans="1:14" ht="24">
      <c r="A171" s="12" t="s">
        <v>763</v>
      </c>
      <c r="B171" s="13" t="s">
        <v>705</v>
      </c>
      <c r="C171" s="13" t="s">
        <v>764</v>
      </c>
      <c r="D171" s="13" t="s">
        <v>765</v>
      </c>
      <c r="E171" s="14" t="s">
        <v>34</v>
      </c>
      <c r="F171" s="15" t="s">
        <v>35</v>
      </c>
      <c r="G171" s="13" t="s">
        <v>81</v>
      </c>
      <c r="H171" s="13" t="s">
        <v>766</v>
      </c>
      <c r="I171" s="24"/>
      <c r="J171" s="24"/>
      <c r="K171" s="23"/>
      <c r="L171" s="24"/>
      <c r="M171" s="24"/>
      <c r="N171" s="24"/>
    </row>
    <row r="172" spans="1:14" ht="24" hidden="1">
      <c r="A172" s="16" t="s">
        <v>767</v>
      </c>
      <c r="B172" s="17" t="s">
        <v>705</v>
      </c>
      <c r="C172" s="17" t="s">
        <v>768</v>
      </c>
      <c r="D172" s="17" t="s">
        <v>769</v>
      </c>
      <c r="E172" s="19" t="s">
        <v>71</v>
      </c>
      <c r="F172" s="20" t="s">
        <v>57</v>
      </c>
      <c r="G172" s="17" t="s">
        <v>690</v>
      </c>
      <c r="H172" s="17" t="s">
        <v>770</v>
      </c>
      <c r="I172" s="24"/>
      <c r="J172" s="24"/>
      <c r="K172" s="23"/>
      <c r="L172" s="24"/>
      <c r="M172" s="24"/>
      <c r="N172" s="24"/>
    </row>
    <row r="173" spans="1:14" ht="24">
      <c r="A173" s="12" t="s">
        <v>771</v>
      </c>
      <c r="B173" s="13" t="s">
        <v>705</v>
      </c>
      <c r="C173" s="13" t="s">
        <v>772</v>
      </c>
      <c r="D173" s="13" t="s">
        <v>773</v>
      </c>
      <c r="E173" s="14" t="s">
        <v>34</v>
      </c>
      <c r="F173" s="15" t="s">
        <v>35</v>
      </c>
      <c r="G173" s="13" t="s">
        <v>690</v>
      </c>
      <c r="H173" s="13" t="s">
        <v>774</v>
      </c>
      <c r="I173" s="24"/>
      <c r="J173" s="24"/>
      <c r="K173" s="23"/>
      <c r="L173" s="24"/>
      <c r="M173" s="24"/>
      <c r="N173" s="24"/>
    </row>
    <row r="174" spans="1:14" ht="24" hidden="1">
      <c r="A174" s="16" t="s">
        <v>775</v>
      </c>
      <c r="B174" s="17" t="s">
        <v>776</v>
      </c>
      <c r="C174" s="17" t="s">
        <v>777</v>
      </c>
      <c r="D174" s="17" t="s">
        <v>778</v>
      </c>
      <c r="E174" s="19" t="s">
        <v>71</v>
      </c>
      <c r="F174" s="15" t="s">
        <v>35</v>
      </c>
      <c r="G174" s="17" t="s">
        <v>93</v>
      </c>
      <c r="H174" s="17" t="s">
        <v>779</v>
      </c>
      <c r="I174" s="24" t="s">
        <v>780</v>
      </c>
      <c r="J174" s="23">
        <v>46185</v>
      </c>
      <c r="K174" s="23">
        <v>46368</v>
      </c>
      <c r="L174" s="24" t="s">
        <v>781</v>
      </c>
      <c r="M174" s="23">
        <v>46338</v>
      </c>
      <c r="N174" s="24" t="s">
        <v>782</v>
      </c>
    </row>
    <row r="175" spans="1:14" ht="24" hidden="1">
      <c r="A175" s="12" t="s">
        <v>783</v>
      </c>
      <c r="B175" s="13" t="s">
        <v>776</v>
      </c>
      <c r="C175" s="13" t="s">
        <v>784</v>
      </c>
      <c r="D175" s="13" t="s">
        <v>785</v>
      </c>
      <c r="E175" s="19" t="s">
        <v>71</v>
      </c>
      <c r="F175" s="15" t="s">
        <v>35</v>
      </c>
      <c r="G175" s="13" t="s">
        <v>36</v>
      </c>
      <c r="H175" s="13" t="s">
        <v>786</v>
      </c>
      <c r="I175" s="24"/>
      <c r="J175" s="24"/>
      <c r="K175" s="24"/>
      <c r="L175" s="24"/>
      <c r="M175" s="24"/>
      <c r="N175" s="24"/>
    </row>
    <row r="176" spans="1:14" ht="24" hidden="1">
      <c r="A176" s="16" t="s">
        <v>787</v>
      </c>
      <c r="B176" s="17" t="s">
        <v>776</v>
      </c>
      <c r="C176" s="17" t="s">
        <v>788</v>
      </c>
      <c r="D176" s="17" t="s">
        <v>789</v>
      </c>
      <c r="E176" s="19" t="s">
        <v>71</v>
      </c>
      <c r="F176" s="20" t="s">
        <v>57</v>
      </c>
      <c r="G176" s="17" t="s">
        <v>472</v>
      </c>
      <c r="H176" s="17" t="s">
        <v>790</v>
      </c>
      <c r="I176" s="24"/>
      <c r="J176" s="24"/>
      <c r="K176" s="24"/>
      <c r="L176" s="24"/>
      <c r="M176" s="24"/>
      <c r="N176" s="24"/>
    </row>
    <row r="177" spans="1:14" ht="24" hidden="1">
      <c r="A177" s="12" t="s">
        <v>791</v>
      </c>
      <c r="B177" s="13" t="s">
        <v>776</v>
      </c>
      <c r="C177" s="13" t="s">
        <v>792</v>
      </c>
      <c r="D177" s="13" t="s">
        <v>793</v>
      </c>
      <c r="E177" s="19" t="s">
        <v>71</v>
      </c>
      <c r="F177" s="18" t="s">
        <v>57</v>
      </c>
      <c r="G177" s="13" t="s">
        <v>93</v>
      </c>
      <c r="H177" s="13" t="s">
        <v>794</v>
      </c>
      <c r="I177" s="24"/>
      <c r="J177" s="24"/>
      <c r="K177" s="24"/>
      <c r="L177" s="24"/>
      <c r="M177" s="24"/>
      <c r="N177" s="24"/>
    </row>
    <row r="178" spans="1:14" ht="24" hidden="1">
      <c r="A178" s="16" t="s">
        <v>795</v>
      </c>
      <c r="B178" s="17" t="s">
        <v>776</v>
      </c>
      <c r="C178" s="17" t="s">
        <v>796</v>
      </c>
      <c r="D178" s="17" t="s">
        <v>797</v>
      </c>
      <c r="E178" s="19" t="s">
        <v>71</v>
      </c>
      <c r="F178" s="20" t="s">
        <v>57</v>
      </c>
      <c r="G178" s="17" t="s">
        <v>93</v>
      </c>
      <c r="H178" s="17" t="s">
        <v>798</v>
      </c>
      <c r="I178" s="24"/>
      <c r="J178" s="24"/>
      <c r="K178" s="24"/>
      <c r="L178" s="24"/>
      <c r="M178" s="24"/>
      <c r="N178" s="24"/>
    </row>
    <row r="179" spans="1:14" ht="24" hidden="1">
      <c r="A179" s="12" t="s">
        <v>799</v>
      </c>
      <c r="B179" s="13" t="s">
        <v>776</v>
      </c>
      <c r="C179" s="13" t="s">
        <v>800</v>
      </c>
      <c r="D179" s="13" t="s">
        <v>801</v>
      </c>
      <c r="E179" s="19" t="s">
        <v>71</v>
      </c>
      <c r="F179" s="15" t="s">
        <v>35</v>
      </c>
      <c r="G179" s="13" t="s">
        <v>93</v>
      </c>
      <c r="H179" s="13" t="s">
        <v>802</v>
      </c>
      <c r="I179" s="24"/>
      <c r="J179" s="24"/>
      <c r="K179" s="24"/>
      <c r="L179" s="24"/>
      <c r="M179" s="24"/>
      <c r="N179" s="24"/>
    </row>
    <row r="180" spans="1:14" ht="24" hidden="1">
      <c r="A180" s="16" t="s">
        <v>803</v>
      </c>
      <c r="B180" s="17" t="s">
        <v>776</v>
      </c>
      <c r="C180" s="17" t="s">
        <v>804</v>
      </c>
      <c r="D180" s="17" t="s">
        <v>805</v>
      </c>
      <c r="E180" s="19" t="s">
        <v>71</v>
      </c>
      <c r="F180" s="20" t="s">
        <v>57</v>
      </c>
      <c r="G180" s="17" t="s">
        <v>98</v>
      </c>
      <c r="H180" s="17" t="s">
        <v>806</v>
      </c>
      <c r="I180" s="24"/>
      <c r="J180" s="24"/>
      <c r="K180" s="24"/>
      <c r="L180" s="24"/>
      <c r="M180" s="24"/>
      <c r="N180" s="24"/>
    </row>
    <row r="181" spans="1:14" ht="24" hidden="1">
      <c r="A181" s="12" t="s">
        <v>807</v>
      </c>
      <c r="B181" s="13" t="s">
        <v>776</v>
      </c>
      <c r="C181" s="13" t="s">
        <v>808</v>
      </c>
      <c r="D181" s="13" t="s">
        <v>809</v>
      </c>
      <c r="E181" s="19" t="s">
        <v>71</v>
      </c>
      <c r="F181" s="18" t="s">
        <v>57</v>
      </c>
      <c r="G181" s="13" t="s">
        <v>98</v>
      </c>
      <c r="H181" s="13" t="s">
        <v>810</v>
      </c>
      <c r="I181" s="24"/>
      <c r="J181" s="24"/>
      <c r="K181" s="24"/>
      <c r="L181" s="24"/>
      <c r="M181" s="24"/>
      <c r="N181" s="24"/>
    </row>
    <row r="182" spans="1:14" ht="24" hidden="1">
      <c r="A182" s="16" t="s">
        <v>811</v>
      </c>
      <c r="B182" s="17" t="s">
        <v>776</v>
      </c>
      <c r="C182" s="17" t="s">
        <v>812</v>
      </c>
      <c r="D182" s="17" t="s">
        <v>813</v>
      </c>
      <c r="E182" s="19" t="s">
        <v>71</v>
      </c>
      <c r="F182" s="20" t="s">
        <v>57</v>
      </c>
      <c r="G182" s="17" t="s">
        <v>93</v>
      </c>
      <c r="H182" s="17" t="s">
        <v>814</v>
      </c>
      <c r="I182" s="24"/>
      <c r="J182" s="24"/>
      <c r="K182" s="24"/>
      <c r="L182" s="24"/>
      <c r="M182" s="24"/>
      <c r="N182" s="24"/>
    </row>
    <row r="183" spans="1:14" ht="24" hidden="1">
      <c r="A183" s="12" t="s">
        <v>815</v>
      </c>
      <c r="B183" s="13" t="s">
        <v>776</v>
      </c>
      <c r="C183" s="13" t="s">
        <v>816</v>
      </c>
      <c r="D183" s="13" t="s">
        <v>817</v>
      </c>
      <c r="E183" s="19" t="s">
        <v>71</v>
      </c>
      <c r="F183" s="18" t="s">
        <v>57</v>
      </c>
      <c r="G183" s="13" t="s">
        <v>81</v>
      </c>
      <c r="H183" s="13" t="s">
        <v>818</v>
      </c>
      <c r="I183" s="24"/>
      <c r="J183" s="24"/>
      <c r="K183" s="24"/>
      <c r="L183" s="24"/>
      <c r="M183" s="24"/>
      <c r="N183" s="24"/>
    </row>
    <row r="184" spans="1:14" ht="24" hidden="1">
      <c r="A184" s="16" t="s">
        <v>819</v>
      </c>
      <c r="B184" s="17" t="s">
        <v>776</v>
      </c>
      <c r="C184" s="17" t="s">
        <v>820</v>
      </c>
      <c r="D184" s="17" t="s">
        <v>821</v>
      </c>
      <c r="E184" s="21" t="s">
        <v>143</v>
      </c>
      <c r="F184" s="20" t="s">
        <v>144</v>
      </c>
      <c r="G184" s="17" t="s">
        <v>581</v>
      </c>
      <c r="H184" s="17" t="s">
        <v>822</v>
      </c>
      <c r="I184" s="24"/>
      <c r="J184" s="24"/>
      <c r="K184" s="24"/>
      <c r="L184" s="24"/>
      <c r="M184" s="24"/>
      <c r="N184" s="24"/>
    </row>
    <row r="185" spans="1:14" ht="24" hidden="1">
      <c r="A185" s="12" t="s">
        <v>823</v>
      </c>
      <c r="B185" s="13" t="s">
        <v>824</v>
      </c>
      <c r="C185" s="13" t="s">
        <v>825</v>
      </c>
      <c r="D185" s="13" t="s">
        <v>826</v>
      </c>
      <c r="E185" s="19" t="s">
        <v>71</v>
      </c>
      <c r="F185" s="15" t="s">
        <v>35</v>
      </c>
      <c r="G185" s="13" t="s">
        <v>36</v>
      </c>
      <c r="H185" s="13" t="s">
        <v>827</v>
      </c>
      <c r="I185" s="24"/>
      <c r="J185" s="24"/>
      <c r="K185" s="24"/>
      <c r="L185" s="24"/>
      <c r="M185" s="24"/>
      <c r="N185" s="24"/>
    </row>
    <row r="186" spans="1:14" ht="24" hidden="1">
      <c r="A186" s="16" t="s">
        <v>828</v>
      </c>
      <c r="B186" s="17" t="s">
        <v>824</v>
      </c>
      <c r="C186" s="17" t="s">
        <v>829</v>
      </c>
      <c r="D186" s="17" t="s">
        <v>830</v>
      </c>
      <c r="E186" s="19" t="s">
        <v>71</v>
      </c>
      <c r="F186" s="20" t="s">
        <v>57</v>
      </c>
      <c r="G186" s="17" t="s">
        <v>36</v>
      </c>
      <c r="H186" s="17" t="s">
        <v>831</v>
      </c>
      <c r="I186" s="24"/>
      <c r="J186" s="24"/>
      <c r="K186" s="24"/>
      <c r="L186" s="24"/>
      <c r="M186" s="24"/>
      <c r="N186" s="24"/>
    </row>
    <row r="187" spans="1:14" ht="24" hidden="1">
      <c r="A187" s="12" t="s">
        <v>832</v>
      </c>
      <c r="B187" s="13" t="s">
        <v>824</v>
      </c>
      <c r="C187" s="13" t="s">
        <v>833</v>
      </c>
      <c r="D187" s="13" t="s">
        <v>834</v>
      </c>
      <c r="E187" s="19" t="s">
        <v>71</v>
      </c>
      <c r="F187" s="15" t="s">
        <v>35</v>
      </c>
      <c r="G187" s="13" t="s">
        <v>690</v>
      </c>
      <c r="H187" s="13" t="s">
        <v>835</v>
      </c>
      <c r="I187" s="24"/>
      <c r="J187" s="24"/>
      <c r="K187" s="24"/>
      <c r="L187" s="24"/>
      <c r="M187" s="24"/>
      <c r="N187" s="24"/>
    </row>
    <row r="188" spans="1:14" ht="24" hidden="1">
      <c r="A188" s="16" t="s">
        <v>836</v>
      </c>
      <c r="B188" s="17" t="s">
        <v>824</v>
      </c>
      <c r="C188" s="17" t="s">
        <v>837</v>
      </c>
      <c r="D188" s="17" t="s">
        <v>838</v>
      </c>
      <c r="E188" s="19" t="s">
        <v>71</v>
      </c>
      <c r="F188" s="20" t="s">
        <v>57</v>
      </c>
      <c r="G188" s="17" t="s">
        <v>81</v>
      </c>
      <c r="H188" s="17" t="s">
        <v>839</v>
      </c>
      <c r="I188" s="24"/>
      <c r="J188" s="24"/>
      <c r="K188" s="24"/>
      <c r="L188" s="24"/>
      <c r="M188" s="24"/>
      <c r="N188" s="24"/>
    </row>
    <row r="189" spans="1:14" ht="24">
      <c r="A189" s="12" t="s">
        <v>840</v>
      </c>
      <c r="B189" s="13" t="s">
        <v>824</v>
      </c>
      <c r="C189" s="13" t="s">
        <v>841</v>
      </c>
      <c r="D189" s="13" t="s">
        <v>842</v>
      </c>
      <c r="E189" s="14" t="s">
        <v>34</v>
      </c>
      <c r="F189" s="15" t="s">
        <v>35</v>
      </c>
      <c r="G189" s="13" t="s">
        <v>472</v>
      </c>
      <c r="H189" s="13" t="s">
        <v>843</v>
      </c>
      <c r="I189" s="24"/>
      <c r="J189" s="24"/>
      <c r="K189" s="24"/>
      <c r="L189" s="24"/>
      <c r="M189" s="24"/>
      <c r="N189" s="24"/>
    </row>
    <row r="190" spans="1:14" ht="24">
      <c r="A190" s="16" t="s">
        <v>844</v>
      </c>
      <c r="B190" s="17" t="s">
        <v>824</v>
      </c>
      <c r="C190" s="17" t="s">
        <v>845</v>
      </c>
      <c r="D190" s="17" t="s">
        <v>846</v>
      </c>
      <c r="E190" s="14" t="s">
        <v>34</v>
      </c>
      <c r="F190" s="15" t="s">
        <v>35</v>
      </c>
      <c r="G190" s="17" t="s">
        <v>472</v>
      </c>
      <c r="H190" s="17" t="s">
        <v>847</v>
      </c>
      <c r="I190" s="24"/>
      <c r="J190" s="24"/>
      <c r="K190" s="24"/>
      <c r="L190" s="24"/>
      <c r="M190" s="24"/>
      <c r="N190" s="24"/>
    </row>
    <row r="191" spans="1:14" ht="24">
      <c r="A191" s="12" t="s">
        <v>848</v>
      </c>
      <c r="B191" s="13" t="s">
        <v>824</v>
      </c>
      <c r="C191" s="13" t="s">
        <v>849</v>
      </c>
      <c r="D191" s="13" t="s">
        <v>850</v>
      </c>
      <c r="E191" s="14" t="s">
        <v>34</v>
      </c>
      <c r="F191" s="15" t="s">
        <v>35</v>
      </c>
      <c r="G191" s="13" t="s">
        <v>472</v>
      </c>
      <c r="H191" s="13" t="s">
        <v>851</v>
      </c>
      <c r="I191" s="24"/>
      <c r="J191" s="24"/>
      <c r="K191" s="24"/>
      <c r="L191" s="24"/>
      <c r="M191" s="24"/>
      <c r="N191" s="24"/>
    </row>
    <row r="192" spans="1:14" ht="24">
      <c r="A192" s="16" t="s">
        <v>852</v>
      </c>
      <c r="B192" s="17" t="s">
        <v>824</v>
      </c>
      <c r="C192" s="17" t="s">
        <v>853</v>
      </c>
      <c r="D192" s="17" t="s">
        <v>854</v>
      </c>
      <c r="E192" s="14" t="s">
        <v>34</v>
      </c>
      <c r="F192" s="15" t="s">
        <v>35</v>
      </c>
      <c r="G192" s="17" t="s">
        <v>472</v>
      </c>
      <c r="H192" s="17" t="s">
        <v>855</v>
      </c>
      <c r="I192" s="24"/>
      <c r="J192" s="24"/>
      <c r="K192" s="24"/>
      <c r="L192" s="24"/>
      <c r="M192" s="24"/>
      <c r="N192" s="24"/>
    </row>
    <row r="193" spans="1:14" ht="24">
      <c r="A193" s="12" t="s">
        <v>856</v>
      </c>
      <c r="B193" s="13" t="s">
        <v>824</v>
      </c>
      <c r="C193" s="13" t="s">
        <v>857</v>
      </c>
      <c r="D193" s="13" t="s">
        <v>858</v>
      </c>
      <c r="E193" s="14" t="s">
        <v>34</v>
      </c>
      <c r="F193" s="15" t="s">
        <v>35</v>
      </c>
      <c r="G193" s="13" t="s">
        <v>472</v>
      </c>
      <c r="H193" s="13" t="s">
        <v>859</v>
      </c>
      <c r="I193" s="24"/>
      <c r="J193" s="24"/>
      <c r="K193" s="24"/>
      <c r="L193" s="24"/>
      <c r="M193" s="24"/>
      <c r="N193" s="24"/>
    </row>
    <row r="194" spans="1:14" ht="24" hidden="1">
      <c r="A194" s="16" t="s">
        <v>860</v>
      </c>
      <c r="B194" s="17" t="s">
        <v>824</v>
      </c>
      <c r="C194" s="17" t="s">
        <v>861</v>
      </c>
      <c r="D194" s="17" t="s">
        <v>862</v>
      </c>
      <c r="E194" s="19" t="s">
        <v>71</v>
      </c>
      <c r="F194" s="20" t="s">
        <v>57</v>
      </c>
      <c r="G194" s="17" t="s">
        <v>472</v>
      </c>
      <c r="H194" s="17" t="s">
        <v>863</v>
      </c>
      <c r="I194" s="24"/>
      <c r="J194" s="24"/>
      <c r="K194" s="24"/>
      <c r="L194" s="24"/>
      <c r="M194" s="24"/>
      <c r="N194" s="24"/>
    </row>
    <row r="195" spans="1:14" ht="24" hidden="1">
      <c r="A195" s="12" t="s">
        <v>864</v>
      </c>
      <c r="B195" s="13" t="s">
        <v>824</v>
      </c>
      <c r="C195" s="13" t="s">
        <v>865</v>
      </c>
      <c r="D195" s="13" t="s">
        <v>866</v>
      </c>
      <c r="E195" s="19" t="s">
        <v>71</v>
      </c>
      <c r="F195" s="18" t="s">
        <v>57</v>
      </c>
      <c r="G195" s="13" t="s">
        <v>98</v>
      </c>
      <c r="H195" s="13" t="s">
        <v>867</v>
      </c>
      <c r="I195" s="24"/>
      <c r="J195" s="24"/>
      <c r="K195" s="24"/>
      <c r="L195" s="24"/>
      <c r="M195" s="24"/>
      <c r="N195" s="24"/>
    </row>
    <row r="196" spans="1:14" ht="24" hidden="1">
      <c r="A196" s="16" t="s">
        <v>868</v>
      </c>
      <c r="B196" s="17" t="s">
        <v>824</v>
      </c>
      <c r="C196" s="17" t="s">
        <v>869</v>
      </c>
      <c r="D196" s="17" t="s">
        <v>870</v>
      </c>
      <c r="E196" s="19" t="s">
        <v>71</v>
      </c>
      <c r="F196" s="15" t="s">
        <v>35</v>
      </c>
      <c r="G196" s="17" t="s">
        <v>81</v>
      </c>
      <c r="H196" s="17" t="s">
        <v>871</v>
      </c>
      <c r="I196" s="24"/>
      <c r="J196" s="24"/>
      <c r="K196" s="24"/>
      <c r="L196" s="24"/>
      <c r="M196" s="24"/>
      <c r="N196" s="24"/>
    </row>
    <row r="197" spans="1:14" ht="24" hidden="1">
      <c r="A197" s="12" t="s">
        <v>872</v>
      </c>
      <c r="B197" s="13" t="s">
        <v>824</v>
      </c>
      <c r="C197" s="13" t="s">
        <v>873</v>
      </c>
      <c r="D197" s="13" t="s">
        <v>874</v>
      </c>
      <c r="E197" s="21" t="s">
        <v>143</v>
      </c>
      <c r="F197" s="18" t="s">
        <v>57</v>
      </c>
      <c r="G197" s="13" t="s">
        <v>81</v>
      </c>
      <c r="H197" s="13" t="s">
        <v>875</v>
      </c>
      <c r="I197" s="24"/>
      <c r="J197" s="24"/>
      <c r="K197" s="24"/>
      <c r="L197" s="24"/>
      <c r="M197" s="24"/>
      <c r="N197" s="24"/>
    </row>
    <row r="198" spans="1:14" ht="24" hidden="1">
      <c r="A198" s="16" t="s">
        <v>876</v>
      </c>
      <c r="B198" s="17" t="s">
        <v>824</v>
      </c>
      <c r="C198" s="17" t="s">
        <v>877</v>
      </c>
      <c r="D198" s="17" t="s">
        <v>878</v>
      </c>
      <c r="E198" s="21" t="s">
        <v>143</v>
      </c>
      <c r="F198" s="20" t="s">
        <v>144</v>
      </c>
      <c r="G198" s="17" t="s">
        <v>81</v>
      </c>
      <c r="H198" s="17" t="s">
        <v>879</v>
      </c>
      <c r="I198" s="24"/>
      <c r="J198" s="24"/>
      <c r="K198" s="24"/>
      <c r="L198" s="24"/>
      <c r="M198" s="24"/>
      <c r="N198" s="24"/>
    </row>
    <row r="199" spans="1:14" ht="24" hidden="1">
      <c r="A199" s="12" t="s">
        <v>880</v>
      </c>
      <c r="B199" s="13" t="s">
        <v>824</v>
      </c>
      <c r="C199" s="13" t="s">
        <v>881</v>
      </c>
      <c r="D199" s="13" t="s">
        <v>882</v>
      </c>
      <c r="E199" s="19" t="s">
        <v>71</v>
      </c>
      <c r="F199" s="15" t="s">
        <v>35</v>
      </c>
      <c r="G199" s="13" t="s">
        <v>36</v>
      </c>
      <c r="H199" s="13" t="s">
        <v>883</v>
      </c>
      <c r="I199" s="24"/>
      <c r="J199" s="24"/>
      <c r="K199" s="24"/>
      <c r="L199" s="24"/>
      <c r="M199" s="24"/>
      <c r="N199" s="24"/>
    </row>
    <row r="200" spans="1:14" ht="24" hidden="1">
      <c r="A200" s="16" t="s">
        <v>884</v>
      </c>
      <c r="B200" s="17" t="s">
        <v>824</v>
      </c>
      <c r="C200" s="17" t="s">
        <v>885</v>
      </c>
      <c r="D200" s="17" t="s">
        <v>886</v>
      </c>
      <c r="E200" s="19" t="s">
        <v>71</v>
      </c>
      <c r="F200" s="15" t="s">
        <v>35</v>
      </c>
      <c r="G200" s="17" t="s">
        <v>581</v>
      </c>
      <c r="H200" s="17" t="s">
        <v>887</v>
      </c>
      <c r="I200" s="24"/>
      <c r="J200" s="24"/>
      <c r="K200" s="24"/>
      <c r="L200" s="24"/>
      <c r="M200" s="24"/>
      <c r="N200" s="24"/>
    </row>
    <row r="201" spans="1:14" ht="24">
      <c r="A201" s="12" t="s">
        <v>888</v>
      </c>
      <c r="B201" s="13" t="s">
        <v>889</v>
      </c>
      <c r="C201" s="13" t="s">
        <v>890</v>
      </c>
      <c r="D201" s="13" t="s">
        <v>891</v>
      </c>
      <c r="E201" s="14" t="s">
        <v>34</v>
      </c>
      <c r="F201" s="15" t="s">
        <v>35</v>
      </c>
      <c r="G201" s="13" t="s">
        <v>93</v>
      </c>
      <c r="H201" s="13" t="s">
        <v>892</v>
      </c>
      <c r="I201" s="24" t="s">
        <v>893</v>
      </c>
      <c r="J201" s="24" t="s">
        <v>894</v>
      </c>
      <c r="K201" s="24" t="s">
        <v>895</v>
      </c>
      <c r="L201" s="24" t="s">
        <v>41</v>
      </c>
      <c r="M201" s="24" t="s">
        <v>782</v>
      </c>
      <c r="N201" s="24" t="s">
        <v>896</v>
      </c>
    </row>
    <row r="202" spans="1:14" ht="24">
      <c r="A202" s="16" t="s">
        <v>897</v>
      </c>
      <c r="B202" s="17" t="s">
        <v>889</v>
      </c>
      <c r="C202" s="17" t="s">
        <v>898</v>
      </c>
      <c r="D202" s="17" t="s">
        <v>899</v>
      </c>
      <c r="E202" s="14" t="s">
        <v>34</v>
      </c>
      <c r="F202" s="20" t="s">
        <v>57</v>
      </c>
      <c r="G202" s="17" t="s">
        <v>93</v>
      </c>
      <c r="H202" s="17" t="s">
        <v>900</v>
      </c>
      <c r="I202" s="24"/>
      <c r="J202" s="24"/>
      <c r="K202" s="24"/>
      <c r="L202" s="24"/>
      <c r="M202" s="24"/>
      <c r="N202" s="24"/>
    </row>
    <row r="203" spans="1:14" ht="24">
      <c r="A203" s="12" t="s">
        <v>901</v>
      </c>
      <c r="B203" s="13" t="s">
        <v>889</v>
      </c>
      <c r="C203" s="13" t="s">
        <v>902</v>
      </c>
      <c r="D203" s="13" t="s">
        <v>903</v>
      </c>
      <c r="E203" s="14" t="s">
        <v>34</v>
      </c>
      <c r="F203" s="15" t="s">
        <v>35</v>
      </c>
      <c r="G203" s="13" t="s">
        <v>93</v>
      </c>
      <c r="H203" s="13" t="s">
        <v>904</v>
      </c>
      <c r="I203" s="24"/>
      <c r="J203" s="24"/>
      <c r="K203" s="24"/>
      <c r="L203" s="24"/>
      <c r="M203" s="24"/>
      <c r="N203" s="24"/>
    </row>
    <row r="204" spans="1:14" ht="24">
      <c r="A204" s="16" t="s">
        <v>905</v>
      </c>
      <c r="B204" s="17" t="s">
        <v>889</v>
      </c>
      <c r="C204" s="17" t="s">
        <v>906</v>
      </c>
      <c r="D204" s="17" t="s">
        <v>907</v>
      </c>
      <c r="E204" s="14" t="s">
        <v>34</v>
      </c>
      <c r="F204" s="15" t="s">
        <v>35</v>
      </c>
      <c r="G204" s="17" t="s">
        <v>66</v>
      </c>
      <c r="H204" s="17" t="s">
        <v>908</v>
      </c>
      <c r="I204" s="24"/>
      <c r="J204" s="24"/>
      <c r="K204" s="24"/>
      <c r="L204" s="24"/>
      <c r="M204" s="24"/>
      <c r="N204" s="24"/>
    </row>
    <row r="205" spans="1:14" ht="24">
      <c r="A205" s="12" t="s">
        <v>909</v>
      </c>
      <c r="B205" s="13" t="s">
        <v>889</v>
      </c>
      <c r="C205" s="13" t="s">
        <v>910</v>
      </c>
      <c r="D205" s="13" t="s">
        <v>911</v>
      </c>
      <c r="E205" s="14" t="s">
        <v>34</v>
      </c>
      <c r="F205" s="15" t="s">
        <v>35</v>
      </c>
      <c r="G205" s="13" t="s">
        <v>690</v>
      </c>
      <c r="H205" s="13" t="s">
        <v>912</v>
      </c>
      <c r="I205" s="24"/>
      <c r="J205" s="24"/>
      <c r="K205" s="24"/>
      <c r="L205" s="24"/>
      <c r="M205" s="24"/>
      <c r="N205" s="24"/>
    </row>
    <row r="206" spans="1:14" ht="24">
      <c r="A206" s="16" t="s">
        <v>913</v>
      </c>
      <c r="B206" s="17" t="s">
        <v>889</v>
      </c>
      <c r="C206" s="17" t="s">
        <v>914</v>
      </c>
      <c r="D206" s="17" t="s">
        <v>915</v>
      </c>
      <c r="E206" s="14" t="s">
        <v>34</v>
      </c>
      <c r="F206" s="20" t="s">
        <v>57</v>
      </c>
      <c r="G206" s="17" t="s">
        <v>98</v>
      </c>
      <c r="H206" s="17" t="s">
        <v>916</v>
      </c>
      <c r="I206" s="24"/>
      <c r="J206" s="24"/>
      <c r="K206" s="24"/>
      <c r="L206" s="24"/>
      <c r="M206" s="24"/>
      <c r="N206" s="24"/>
    </row>
    <row r="207" spans="1:14" ht="24">
      <c r="A207" s="12" t="s">
        <v>917</v>
      </c>
      <c r="B207" s="13" t="s">
        <v>889</v>
      </c>
      <c r="C207" s="13" t="s">
        <v>918</v>
      </c>
      <c r="D207" s="13" t="s">
        <v>919</v>
      </c>
      <c r="E207" s="14" t="s">
        <v>34</v>
      </c>
      <c r="F207" s="15" t="s">
        <v>35</v>
      </c>
      <c r="G207" s="13" t="s">
        <v>648</v>
      </c>
      <c r="H207" s="13" t="s">
        <v>920</v>
      </c>
      <c r="I207" s="24"/>
      <c r="J207" s="24"/>
      <c r="K207" s="24"/>
      <c r="L207" s="24"/>
      <c r="M207" s="24"/>
      <c r="N207" s="24"/>
    </row>
    <row r="208" spans="1:14" ht="24">
      <c r="A208" s="16" t="s">
        <v>921</v>
      </c>
      <c r="B208" s="17" t="s">
        <v>889</v>
      </c>
      <c r="C208" s="17" t="s">
        <v>922</v>
      </c>
      <c r="D208" s="17" t="s">
        <v>923</v>
      </c>
      <c r="E208" s="14" t="s">
        <v>34</v>
      </c>
      <c r="F208" s="15" t="s">
        <v>35</v>
      </c>
      <c r="G208" s="17" t="s">
        <v>472</v>
      </c>
      <c r="H208" s="17" t="s">
        <v>924</v>
      </c>
      <c r="I208" s="24"/>
      <c r="J208" s="24"/>
      <c r="K208" s="24"/>
      <c r="L208" s="24"/>
      <c r="M208" s="24"/>
      <c r="N208" s="24"/>
    </row>
    <row r="209" spans="1:14" ht="24" hidden="1">
      <c r="A209" s="12" t="s">
        <v>925</v>
      </c>
      <c r="B209" s="13" t="s">
        <v>889</v>
      </c>
      <c r="C209" s="13" t="s">
        <v>926</v>
      </c>
      <c r="D209" s="13" t="s">
        <v>927</v>
      </c>
      <c r="E209" s="19" t="s">
        <v>71</v>
      </c>
      <c r="F209" s="18" t="s">
        <v>57</v>
      </c>
      <c r="G209" s="13" t="s">
        <v>93</v>
      </c>
      <c r="H209" s="13" t="s">
        <v>928</v>
      </c>
      <c r="I209" s="24"/>
      <c r="J209" s="24"/>
      <c r="K209" s="24"/>
      <c r="L209" s="24"/>
      <c r="M209" s="24"/>
      <c r="N209" s="24"/>
    </row>
    <row r="210" spans="1:14" ht="24">
      <c r="A210" s="16" t="s">
        <v>929</v>
      </c>
      <c r="B210" s="17" t="s">
        <v>889</v>
      </c>
      <c r="C210" s="17" t="s">
        <v>930</v>
      </c>
      <c r="D210" s="17" t="s">
        <v>931</v>
      </c>
      <c r="E210" s="14" t="s">
        <v>34</v>
      </c>
      <c r="F210" s="15" t="s">
        <v>35</v>
      </c>
      <c r="G210" s="17" t="s">
        <v>581</v>
      </c>
      <c r="H210" s="17" t="s">
        <v>932</v>
      </c>
      <c r="I210" s="24"/>
      <c r="J210" s="24"/>
      <c r="K210" s="24"/>
      <c r="L210" s="24"/>
      <c r="M210" s="24"/>
      <c r="N210" s="24"/>
    </row>
    <row r="211" spans="1:14" ht="24" hidden="1">
      <c r="A211" s="12" t="s">
        <v>933</v>
      </c>
      <c r="B211" s="13" t="s">
        <v>934</v>
      </c>
      <c r="C211" s="13" t="s">
        <v>935</v>
      </c>
      <c r="D211" s="13" t="s">
        <v>936</v>
      </c>
      <c r="E211" s="19" t="s">
        <v>71</v>
      </c>
      <c r="F211" s="15" t="s">
        <v>35</v>
      </c>
      <c r="G211" s="13" t="s">
        <v>252</v>
      </c>
      <c r="H211" s="13" t="s">
        <v>937</v>
      </c>
      <c r="I211" s="24"/>
      <c r="J211" s="24"/>
      <c r="K211" s="24"/>
      <c r="L211" s="24"/>
      <c r="M211" s="24"/>
      <c r="N211" s="24"/>
    </row>
    <row r="212" spans="1:14" ht="24">
      <c r="A212" s="16" t="s">
        <v>938</v>
      </c>
      <c r="B212" s="17" t="s">
        <v>934</v>
      </c>
      <c r="C212" s="17" t="s">
        <v>939</v>
      </c>
      <c r="D212" s="17" t="s">
        <v>940</v>
      </c>
      <c r="E212" s="14" t="s">
        <v>34</v>
      </c>
      <c r="F212" s="15" t="s">
        <v>35</v>
      </c>
      <c r="G212" s="17" t="s">
        <v>252</v>
      </c>
      <c r="H212" s="17" t="s">
        <v>941</v>
      </c>
      <c r="I212" s="24"/>
      <c r="J212" s="24"/>
      <c r="K212" s="24"/>
      <c r="L212" s="24"/>
      <c r="M212" s="24"/>
      <c r="N212" s="24"/>
    </row>
    <row r="213" spans="1:14" ht="24" hidden="1">
      <c r="A213" s="12" t="s">
        <v>942</v>
      </c>
      <c r="B213" s="13" t="s">
        <v>934</v>
      </c>
      <c r="C213" s="13" t="s">
        <v>943</v>
      </c>
      <c r="D213" s="13" t="s">
        <v>944</v>
      </c>
      <c r="E213" s="19" t="s">
        <v>71</v>
      </c>
      <c r="F213" s="15" t="s">
        <v>35</v>
      </c>
      <c r="G213" s="13" t="s">
        <v>81</v>
      </c>
      <c r="H213" s="13" t="s">
        <v>945</v>
      </c>
      <c r="I213" s="24"/>
      <c r="J213" s="24"/>
      <c r="K213" s="24"/>
      <c r="L213" s="24"/>
      <c r="M213" s="24"/>
      <c r="N213" s="24"/>
    </row>
    <row r="214" spans="1:14" ht="24" hidden="1">
      <c r="A214" s="16" t="s">
        <v>946</v>
      </c>
      <c r="B214" s="17" t="s">
        <v>934</v>
      </c>
      <c r="C214" s="17" t="s">
        <v>947</v>
      </c>
      <c r="D214" s="17" t="s">
        <v>948</v>
      </c>
      <c r="E214" s="19" t="s">
        <v>71</v>
      </c>
      <c r="F214" s="20" t="s">
        <v>57</v>
      </c>
      <c r="G214" s="17" t="s">
        <v>81</v>
      </c>
      <c r="H214" s="17" t="s">
        <v>949</v>
      </c>
      <c r="I214" s="24"/>
      <c r="J214" s="24"/>
      <c r="K214" s="24"/>
      <c r="L214" s="24"/>
      <c r="M214" s="24"/>
      <c r="N214" s="24"/>
    </row>
    <row r="215" spans="1:14" ht="24" hidden="1">
      <c r="A215" s="12" t="s">
        <v>950</v>
      </c>
      <c r="B215" s="13" t="s">
        <v>934</v>
      </c>
      <c r="C215" s="13" t="s">
        <v>951</v>
      </c>
      <c r="D215" s="13" t="s">
        <v>952</v>
      </c>
      <c r="E215" s="19" t="s">
        <v>71</v>
      </c>
      <c r="F215" s="15" t="s">
        <v>35</v>
      </c>
      <c r="G215" s="13" t="s">
        <v>81</v>
      </c>
      <c r="H215" s="13" t="s">
        <v>953</v>
      </c>
      <c r="I215" s="24"/>
      <c r="J215" s="24"/>
      <c r="K215" s="24"/>
      <c r="L215" s="24"/>
      <c r="M215" s="24"/>
      <c r="N215" s="24"/>
    </row>
    <row r="216" spans="1:14" ht="24" hidden="1">
      <c r="A216" s="16" t="s">
        <v>954</v>
      </c>
      <c r="B216" s="17" t="s">
        <v>934</v>
      </c>
      <c r="C216" s="17" t="s">
        <v>955</v>
      </c>
      <c r="D216" s="17" t="s">
        <v>956</v>
      </c>
      <c r="E216" s="19" t="s">
        <v>71</v>
      </c>
      <c r="F216" s="15" t="s">
        <v>35</v>
      </c>
      <c r="G216" s="17" t="s">
        <v>66</v>
      </c>
      <c r="H216" s="17" t="s">
        <v>957</v>
      </c>
      <c r="I216" s="24"/>
      <c r="J216" s="24"/>
      <c r="K216" s="24"/>
      <c r="L216" s="24"/>
      <c r="M216" s="24"/>
      <c r="N216" s="24"/>
    </row>
    <row r="217" spans="1:14" ht="24" hidden="1">
      <c r="A217" s="12" t="s">
        <v>958</v>
      </c>
      <c r="B217" s="13" t="s">
        <v>934</v>
      </c>
      <c r="C217" s="13" t="s">
        <v>959</v>
      </c>
      <c r="D217" s="13" t="s">
        <v>960</v>
      </c>
      <c r="E217" s="19" t="s">
        <v>71</v>
      </c>
      <c r="F217" s="18" t="s">
        <v>57</v>
      </c>
      <c r="G217" s="13" t="s">
        <v>66</v>
      </c>
      <c r="H217" s="13" t="s">
        <v>961</v>
      </c>
      <c r="I217" s="24"/>
      <c r="J217" s="24"/>
      <c r="K217" s="24"/>
      <c r="L217" s="24"/>
      <c r="M217" s="24"/>
      <c r="N217" s="24"/>
    </row>
    <row r="218" spans="1:14" ht="24">
      <c r="A218" s="16" t="s">
        <v>962</v>
      </c>
      <c r="B218" s="17" t="s">
        <v>934</v>
      </c>
      <c r="C218" s="17" t="s">
        <v>963</v>
      </c>
      <c r="D218" s="17" t="s">
        <v>964</v>
      </c>
      <c r="E218" s="14" t="s">
        <v>34</v>
      </c>
      <c r="F218" s="15" t="s">
        <v>35</v>
      </c>
      <c r="G218" s="17" t="s">
        <v>66</v>
      </c>
      <c r="H218" s="17" t="s">
        <v>965</v>
      </c>
      <c r="I218" s="24"/>
      <c r="J218" s="24"/>
      <c r="K218" s="24"/>
      <c r="L218" s="24"/>
      <c r="M218" s="24"/>
      <c r="N218" s="24"/>
    </row>
    <row r="219" spans="1:14" ht="24">
      <c r="A219" s="12" t="s">
        <v>966</v>
      </c>
      <c r="B219" s="13" t="s">
        <v>934</v>
      </c>
      <c r="C219" s="13" t="s">
        <v>967</v>
      </c>
      <c r="D219" s="13" t="s">
        <v>968</v>
      </c>
      <c r="E219" s="14" t="s">
        <v>34</v>
      </c>
      <c r="F219" s="15" t="s">
        <v>35</v>
      </c>
      <c r="G219" s="13" t="s">
        <v>98</v>
      </c>
      <c r="H219" s="13" t="s">
        <v>969</v>
      </c>
      <c r="I219" s="24"/>
      <c r="J219" s="24"/>
      <c r="K219" s="24"/>
      <c r="L219" s="24"/>
      <c r="M219" s="24"/>
      <c r="N219" s="24"/>
    </row>
    <row r="220" spans="1:14" ht="24" hidden="1">
      <c r="A220" s="16" t="s">
        <v>970</v>
      </c>
      <c r="B220" s="17" t="s">
        <v>934</v>
      </c>
      <c r="C220" s="17" t="s">
        <v>971</v>
      </c>
      <c r="D220" s="17" t="s">
        <v>972</v>
      </c>
      <c r="E220" s="19" t="s">
        <v>71</v>
      </c>
      <c r="F220" s="20" t="s">
        <v>57</v>
      </c>
      <c r="G220" s="17" t="s">
        <v>98</v>
      </c>
      <c r="H220" s="17" t="s">
        <v>973</v>
      </c>
      <c r="I220" s="24"/>
      <c r="J220" s="24"/>
      <c r="K220" s="24"/>
      <c r="L220" s="24"/>
      <c r="M220" s="24"/>
      <c r="N220" s="24"/>
    </row>
    <row r="221" spans="1:14" ht="24">
      <c r="A221" s="12" t="s">
        <v>974</v>
      </c>
      <c r="B221" s="13" t="s">
        <v>934</v>
      </c>
      <c r="C221" s="13" t="s">
        <v>975</v>
      </c>
      <c r="D221" s="13" t="s">
        <v>976</v>
      </c>
      <c r="E221" s="14" t="s">
        <v>34</v>
      </c>
      <c r="F221" s="15" t="s">
        <v>35</v>
      </c>
      <c r="G221" s="13" t="s">
        <v>98</v>
      </c>
      <c r="H221" s="13" t="s">
        <v>977</v>
      </c>
      <c r="I221" s="24"/>
      <c r="J221" s="24"/>
      <c r="K221" s="24"/>
      <c r="L221" s="24"/>
      <c r="M221" s="24"/>
      <c r="N221" s="24"/>
    </row>
    <row r="222" spans="1:14" ht="24">
      <c r="A222" s="16" t="s">
        <v>978</v>
      </c>
      <c r="B222" s="17" t="s">
        <v>934</v>
      </c>
      <c r="C222" s="17" t="s">
        <v>979</v>
      </c>
      <c r="D222" s="17" t="s">
        <v>980</v>
      </c>
      <c r="E222" s="14" t="s">
        <v>34</v>
      </c>
      <c r="F222" s="15" t="s">
        <v>35</v>
      </c>
      <c r="G222" s="17" t="s">
        <v>98</v>
      </c>
      <c r="H222" s="17" t="s">
        <v>981</v>
      </c>
      <c r="I222" s="24"/>
      <c r="J222" s="24"/>
      <c r="K222" s="24"/>
      <c r="L222" s="24"/>
      <c r="M222" s="24"/>
      <c r="N222" s="24"/>
    </row>
    <row r="223" spans="1:14" ht="24">
      <c r="A223" s="12" t="s">
        <v>982</v>
      </c>
      <c r="B223" s="13" t="s">
        <v>934</v>
      </c>
      <c r="C223" s="13" t="s">
        <v>983</v>
      </c>
      <c r="D223" s="13" t="s">
        <v>984</v>
      </c>
      <c r="E223" s="14" t="s">
        <v>34</v>
      </c>
      <c r="F223" s="15" t="s">
        <v>35</v>
      </c>
      <c r="G223" s="13" t="s">
        <v>690</v>
      </c>
      <c r="H223" s="13" t="s">
        <v>985</v>
      </c>
      <c r="I223" s="24"/>
      <c r="J223" s="24"/>
      <c r="K223" s="24"/>
      <c r="L223" s="24"/>
      <c r="M223" s="24"/>
      <c r="N223" s="24"/>
    </row>
    <row r="224" spans="1:14" ht="24" hidden="1">
      <c r="A224" s="16" t="s">
        <v>986</v>
      </c>
      <c r="B224" s="17" t="s">
        <v>934</v>
      </c>
      <c r="C224" s="17" t="s">
        <v>987</v>
      </c>
      <c r="D224" s="17" t="s">
        <v>988</v>
      </c>
      <c r="E224" s="19" t="s">
        <v>71</v>
      </c>
      <c r="F224" s="20" t="s">
        <v>57</v>
      </c>
      <c r="G224" s="17" t="s">
        <v>690</v>
      </c>
      <c r="H224" s="17" t="s">
        <v>989</v>
      </c>
      <c r="I224" s="24"/>
      <c r="J224" s="24"/>
      <c r="K224" s="24"/>
      <c r="L224" s="24"/>
      <c r="M224" s="24"/>
      <c r="N224" s="24"/>
    </row>
    <row r="225" spans="1:14" ht="24">
      <c r="A225" s="12" t="s">
        <v>990</v>
      </c>
      <c r="B225" s="13" t="s">
        <v>934</v>
      </c>
      <c r="C225" s="13" t="s">
        <v>991</v>
      </c>
      <c r="D225" s="13" t="s">
        <v>992</v>
      </c>
      <c r="E225" s="14" t="s">
        <v>34</v>
      </c>
      <c r="F225" s="15" t="s">
        <v>35</v>
      </c>
      <c r="G225" s="13" t="s">
        <v>252</v>
      </c>
      <c r="H225" s="13" t="s">
        <v>993</v>
      </c>
      <c r="I225" s="24"/>
      <c r="J225" s="24"/>
      <c r="K225" s="24"/>
      <c r="L225" s="24"/>
      <c r="M225" s="24"/>
      <c r="N225" s="24"/>
    </row>
    <row r="226" spans="1:14" ht="24" hidden="1">
      <c r="A226" s="16" t="s">
        <v>994</v>
      </c>
      <c r="B226" s="17" t="s">
        <v>934</v>
      </c>
      <c r="C226" s="17" t="s">
        <v>995</v>
      </c>
      <c r="D226" s="17" t="s">
        <v>996</v>
      </c>
      <c r="E226" s="21" t="s">
        <v>143</v>
      </c>
      <c r="F226" s="20" t="s">
        <v>57</v>
      </c>
      <c r="G226" s="17" t="s">
        <v>252</v>
      </c>
      <c r="H226" s="17" t="s">
        <v>997</v>
      </c>
      <c r="I226" s="24"/>
      <c r="J226" s="24"/>
      <c r="K226" s="24"/>
      <c r="L226" s="24"/>
      <c r="M226" s="24"/>
      <c r="N226" s="24"/>
    </row>
    <row r="227" spans="1:14" ht="24" hidden="1">
      <c r="A227" s="12" t="s">
        <v>998</v>
      </c>
      <c r="B227" s="13" t="s">
        <v>934</v>
      </c>
      <c r="C227" s="13" t="s">
        <v>999</v>
      </c>
      <c r="D227" s="13" t="s">
        <v>1000</v>
      </c>
      <c r="E227" s="19" t="s">
        <v>71</v>
      </c>
      <c r="F227" s="18" t="s">
        <v>57</v>
      </c>
      <c r="G227" s="13" t="s">
        <v>252</v>
      </c>
      <c r="H227" s="13" t="s">
        <v>1001</v>
      </c>
      <c r="I227" s="24"/>
      <c r="J227" s="24"/>
      <c r="K227" s="24"/>
      <c r="L227" s="24"/>
      <c r="M227" s="24"/>
      <c r="N227" s="24"/>
    </row>
    <row r="228" spans="1:14" ht="24" hidden="1">
      <c r="A228" s="16" t="s">
        <v>1002</v>
      </c>
      <c r="B228" s="17" t="s">
        <v>934</v>
      </c>
      <c r="C228" s="17" t="s">
        <v>1003</v>
      </c>
      <c r="D228" s="17" t="s">
        <v>1004</v>
      </c>
      <c r="E228" s="21" t="s">
        <v>143</v>
      </c>
      <c r="F228" s="20" t="s">
        <v>144</v>
      </c>
      <c r="G228" s="17" t="s">
        <v>252</v>
      </c>
      <c r="H228" s="17" t="s">
        <v>1005</v>
      </c>
      <c r="I228" s="24"/>
      <c r="J228" s="24"/>
      <c r="K228" s="24"/>
      <c r="L228" s="24"/>
      <c r="M228" s="24"/>
      <c r="N228" s="24"/>
    </row>
    <row r="229" spans="1:14" ht="24">
      <c r="A229" s="12" t="s">
        <v>1006</v>
      </c>
      <c r="B229" s="13" t="s">
        <v>934</v>
      </c>
      <c r="C229" s="13" t="s">
        <v>1007</v>
      </c>
      <c r="D229" s="13" t="s">
        <v>1008</v>
      </c>
      <c r="E229" s="14" t="s">
        <v>34</v>
      </c>
      <c r="F229" s="15" t="s">
        <v>35</v>
      </c>
      <c r="G229" s="13" t="s">
        <v>66</v>
      </c>
      <c r="H229" s="13" t="s">
        <v>1009</v>
      </c>
      <c r="I229" s="24"/>
      <c r="J229" s="24"/>
      <c r="K229" s="24"/>
      <c r="L229" s="24"/>
      <c r="M229" s="24"/>
      <c r="N229" s="24"/>
    </row>
  </sheetData>
  <autoFilter ref="A2:H229" xr:uid="{00000000-0009-0000-0000-000002000000}">
    <filterColumn colId="4">
      <filters>
        <filter val="Phase 1"/>
      </filters>
    </filterColumn>
  </autoFilter>
  <mergeCells count="78">
    <mergeCell ref="M53:M70"/>
    <mergeCell ref="N53:N70"/>
    <mergeCell ref="M71:M103"/>
    <mergeCell ref="N71:N103"/>
    <mergeCell ref="M104:M120"/>
    <mergeCell ref="N104:N120"/>
    <mergeCell ref="M3:M11"/>
    <mergeCell ref="N3:N11"/>
    <mergeCell ref="M12:M34"/>
    <mergeCell ref="N12:N34"/>
    <mergeCell ref="M35:M52"/>
    <mergeCell ref="N35:N52"/>
    <mergeCell ref="I201:I229"/>
    <mergeCell ref="J3:J11"/>
    <mergeCell ref="K3:K11"/>
    <mergeCell ref="I3:I11"/>
    <mergeCell ref="I12:I34"/>
    <mergeCell ref="I35:I52"/>
    <mergeCell ref="I53:I70"/>
    <mergeCell ref="I71:I103"/>
    <mergeCell ref="I104:I120"/>
    <mergeCell ref="J12:J34"/>
    <mergeCell ref="K12:K34"/>
    <mergeCell ref="J104:J120"/>
    <mergeCell ref="K104:K120"/>
    <mergeCell ref="J121:J132"/>
    <mergeCell ref="K121:K132"/>
    <mergeCell ref="J71:J103"/>
    <mergeCell ref="K71:K103"/>
    <mergeCell ref="I174:I200"/>
    <mergeCell ref="B12:B34"/>
    <mergeCell ref="B35:B52"/>
    <mergeCell ref="B53:B72"/>
    <mergeCell ref="B73:B103"/>
    <mergeCell ref="B104:B120"/>
    <mergeCell ref="I149:I156"/>
    <mergeCell ref="I133:I148"/>
    <mergeCell ref="I157:I173"/>
    <mergeCell ref="I121:I132"/>
    <mergeCell ref="L3:L11"/>
    <mergeCell ref="L12:L34"/>
    <mergeCell ref="L35:L52"/>
    <mergeCell ref="L53:L70"/>
    <mergeCell ref="B3:B11"/>
    <mergeCell ref="J35:J52"/>
    <mergeCell ref="K35:K52"/>
    <mergeCell ref="J53:J70"/>
    <mergeCell ref="K53:K70"/>
    <mergeCell ref="M201:M229"/>
    <mergeCell ref="N201:N229"/>
    <mergeCell ref="J201:J229"/>
    <mergeCell ref="L71:L103"/>
    <mergeCell ref="K201:K229"/>
    <mergeCell ref="L104:L120"/>
    <mergeCell ref="L133:L148"/>
    <mergeCell ref="L149:L156"/>
    <mergeCell ref="L157:L173"/>
    <mergeCell ref="L174:L200"/>
    <mergeCell ref="L201:L229"/>
    <mergeCell ref="L121:L132"/>
    <mergeCell ref="J149:J156"/>
    <mergeCell ref="K149:K156"/>
    <mergeCell ref="J133:J148"/>
    <mergeCell ref="K133:K148"/>
    <mergeCell ref="M121:M132"/>
    <mergeCell ref="N121:N132"/>
    <mergeCell ref="M133:M148"/>
    <mergeCell ref="N133:N148"/>
    <mergeCell ref="J174:J200"/>
    <mergeCell ref="K174:K200"/>
    <mergeCell ref="M149:M156"/>
    <mergeCell ref="N149:N156"/>
    <mergeCell ref="M157:M173"/>
    <mergeCell ref="N157:N173"/>
    <mergeCell ref="M174:M200"/>
    <mergeCell ref="N174:N200"/>
    <mergeCell ref="J157:J173"/>
    <mergeCell ref="K157:K17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1A63E"/>
  </sheetPr>
  <dimension ref="A1:E36"/>
  <sheetViews>
    <sheetView zoomScaleNormal="100" workbookViewId="0">
      <selection activeCell="B6" sqref="A6:B6"/>
    </sheetView>
  </sheetViews>
  <sheetFormatPr defaultColWidth="8.7109375" defaultRowHeight="15"/>
  <cols>
    <col min="1" max="1" width="38" customWidth="1"/>
    <col min="2" max="5" width="12" customWidth="1"/>
  </cols>
  <sheetData>
    <row r="1" spans="1:5" ht="20.25">
      <c r="A1" s="5" t="s">
        <v>1010</v>
      </c>
    </row>
    <row r="2" spans="1:5">
      <c r="A2" s="6" t="s">
        <v>1011</v>
      </c>
    </row>
    <row r="4" spans="1:5">
      <c r="A4" s="7" t="s">
        <v>1012</v>
      </c>
    </row>
    <row r="5" spans="1:5">
      <c r="A5" s="8" t="s">
        <v>23</v>
      </c>
      <c r="B5" s="8" t="s">
        <v>35</v>
      </c>
      <c r="C5" s="8" t="s">
        <v>57</v>
      </c>
      <c r="D5" s="8" t="s">
        <v>144</v>
      </c>
      <c r="E5" s="8" t="s">
        <v>1013</v>
      </c>
    </row>
    <row r="6" spans="1:5">
      <c r="A6" s="9" t="s">
        <v>34</v>
      </c>
      <c r="B6" s="9">
        <f>COUNTIFS(Requirements!$E$3:$E$229,$A6,Requirements!$F$3:$F$229,B$5)</f>
        <v>114</v>
      </c>
      <c r="C6" s="9">
        <f>COUNTIFS(Requirements!$E$3:$E$229,$A6,Requirements!$F$3:$F$229,C$5)</f>
        <v>15</v>
      </c>
      <c r="D6" s="9">
        <f>COUNTIFS(Requirements!$E$3:$E$229,$A6,Requirements!$F$3:$F$229,D$5)</f>
        <v>0</v>
      </c>
      <c r="E6" s="10">
        <f>SUM(B6:D6)</f>
        <v>129</v>
      </c>
    </row>
    <row r="7" spans="1:5">
      <c r="A7" s="9" t="s">
        <v>71</v>
      </c>
      <c r="B7" s="9">
        <f>COUNTIFS(Requirements!$E$3:$E$229,$A7,Requirements!$F$3:$F$229,B$5)</f>
        <v>26</v>
      </c>
      <c r="C7" s="9">
        <f>COUNTIFS(Requirements!$E$3:$E$229,$A7,Requirements!$F$3:$F$229,C$5)</f>
        <v>51</v>
      </c>
      <c r="D7" s="9">
        <f>COUNTIFS(Requirements!$E$3:$E$229,$A7,Requirements!$F$3:$F$229,D$5)</f>
        <v>1</v>
      </c>
      <c r="E7" s="10">
        <f>SUM(B7:D7)</f>
        <v>78</v>
      </c>
    </row>
    <row r="8" spans="1:5">
      <c r="A8" s="9" t="s">
        <v>143</v>
      </c>
      <c r="B8" s="9">
        <f>COUNTIFS(Requirements!$E$3:$E$229,$A8,Requirements!$F$3:$F$229,B$5)</f>
        <v>0</v>
      </c>
      <c r="C8" s="9">
        <f>COUNTIFS(Requirements!$E$3:$E$229,$A8,Requirements!$F$3:$F$229,C$5)</f>
        <v>3</v>
      </c>
      <c r="D8" s="9">
        <f>COUNTIFS(Requirements!$E$3:$E$229,$A8,Requirements!$F$3:$F$229,D$5)</f>
        <v>17</v>
      </c>
      <c r="E8" s="10">
        <f>SUM(B8:D8)</f>
        <v>20</v>
      </c>
    </row>
    <row r="9" spans="1:5">
      <c r="A9" s="10" t="s">
        <v>1013</v>
      </c>
      <c r="B9" s="10">
        <f>SUM(B6:B8)</f>
        <v>140</v>
      </c>
      <c r="C9" s="10">
        <f>SUM(C6:C8)</f>
        <v>69</v>
      </c>
      <c r="D9" s="10">
        <f>SUM(D6:D8)</f>
        <v>18</v>
      </c>
      <c r="E9" s="10">
        <f>SUM(E6:E8)</f>
        <v>227</v>
      </c>
    </row>
    <row r="11" spans="1:5">
      <c r="A11" s="7" t="s">
        <v>1014</v>
      </c>
    </row>
    <row r="12" spans="1:5">
      <c r="A12" s="8" t="s">
        <v>20</v>
      </c>
      <c r="B12" s="8" t="s">
        <v>34</v>
      </c>
      <c r="C12" s="8" t="s">
        <v>71</v>
      </c>
      <c r="D12" s="8" t="s">
        <v>143</v>
      </c>
      <c r="E12" s="8" t="s">
        <v>1013</v>
      </c>
    </row>
    <row r="13" spans="1:5">
      <c r="A13" s="9" t="s">
        <v>31</v>
      </c>
      <c r="B13" s="9">
        <f>COUNTIFS(Requirements!$B$3:$B$229,$A13,Requirements!$E$3:$E$229,"Phase 1")</f>
        <v>1</v>
      </c>
      <c r="C13" s="9">
        <f>COUNTIFS(Requirements!$B$3:$B$229,$A13,Requirements!$E$3:$E$229,"Phase 2")</f>
        <v>0</v>
      </c>
      <c r="D13" s="9">
        <f>COUNTIFS(Requirements!$B$3:$B$229,$A13,Requirements!$E$3:$E$229,"Phase 3")</f>
        <v>0</v>
      </c>
      <c r="E13" s="10">
        <f t="shared" ref="E13:E32" si="0">SUM(B13:D13)</f>
        <v>1</v>
      </c>
    </row>
    <row r="14" spans="1:5">
      <c r="A14" s="9" t="s">
        <v>78</v>
      </c>
      <c r="B14" s="9">
        <f>COUNTIFS(Requirements!$B$3:$B$229,$A14,Requirements!$E$3:$E$229,"Phase 1")</f>
        <v>1</v>
      </c>
      <c r="C14" s="9">
        <f>COUNTIFS(Requirements!$B$3:$B$229,$A14,Requirements!$E$3:$E$229,"Phase 2")</f>
        <v>0</v>
      </c>
      <c r="D14" s="9">
        <f>COUNTIFS(Requirements!$B$3:$B$229,$A14,Requirements!$E$3:$E$229,"Phase 3")</f>
        <v>0</v>
      </c>
      <c r="E14" s="10">
        <f t="shared" si="0"/>
        <v>1</v>
      </c>
    </row>
    <row r="15" spans="1:5">
      <c r="A15" s="9" t="s">
        <v>179</v>
      </c>
      <c r="B15" s="9">
        <f>COUNTIFS(Requirements!$B$3:$B$229,$A15,Requirements!$E$3:$E$229,"Phase 1")</f>
        <v>1</v>
      </c>
      <c r="C15" s="9">
        <f>COUNTIFS(Requirements!$B$3:$B$229,$A15,Requirements!$E$3:$E$229,"Phase 2")</f>
        <v>0</v>
      </c>
      <c r="D15" s="9">
        <f>COUNTIFS(Requirements!$B$3:$B$229,$A15,Requirements!$E$3:$E$229,"Phase 3")</f>
        <v>0</v>
      </c>
      <c r="E15" s="10">
        <f t="shared" si="0"/>
        <v>1</v>
      </c>
    </row>
    <row r="16" spans="1:5">
      <c r="A16" s="9" t="s">
        <v>255</v>
      </c>
      <c r="B16" s="9">
        <f>COUNTIFS(Requirements!$B$3:$B$229,$A16,Requirements!$E$3:$E$229,"Phase 1")</f>
        <v>1</v>
      </c>
      <c r="C16" s="9">
        <f>COUNTIFS(Requirements!$B$3:$B$229,$A16,Requirements!$E$3:$E$229,"Phase 2")</f>
        <v>0</v>
      </c>
      <c r="D16" s="9">
        <f>COUNTIFS(Requirements!$B$3:$B$229,$A16,Requirements!$E$3:$E$229,"Phase 3")</f>
        <v>0</v>
      </c>
      <c r="E16" s="10">
        <f t="shared" si="0"/>
        <v>1</v>
      </c>
    </row>
    <row r="17" spans="1:5">
      <c r="A17" s="9" t="s">
        <v>344</v>
      </c>
      <c r="B17" s="9">
        <f>COUNTIFS(Requirements!$B$3:$B$229,$A17,Requirements!$E$3:$E$229,"Phase 1")</f>
        <v>1</v>
      </c>
      <c r="C17" s="9">
        <f>COUNTIFS(Requirements!$B$3:$B$229,$A17,Requirements!$E$3:$E$229,"Phase 2")</f>
        <v>0</v>
      </c>
      <c r="D17" s="9">
        <f>COUNTIFS(Requirements!$B$3:$B$229,$A17,Requirements!$E$3:$E$229,"Phase 3")</f>
        <v>0</v>
      </c>
      <c r="E17" s="10">
        <f t="shared" si="0"/>
        <v>1</v>
      </c>
    </row>
    <row r="18" spans="1:5">
      <c r="A18" s="9" t="s">
        <v>469</v>
      </c>
      <c r="B18" s="9">
        <f>COUNTIFS(Requirements!$B$3:$B$229,$A18,Requirements!$E$3:$E$229,"Phase 1")</f>
        <v>1</v>
      </c>
      <c r="C18" s="9">
        <f>COUNTIFS(Requirements!$B$3:$B$229,$A18,Requirements!$E$3:$E$229,"Phase 2")</f>
        <v>0</v>
      </c>
      <c r="D18" s="9">
        <f>COUNTIFS(Requirements!$B$3:$B$229,$A18,Requirements!$E$3:$E$229,"Phase 3")</f>
        <v>0</v>
      </c>
      <c r="E18" s="10">
        <f t="shared" si="0"/>
        <v>1</v>
      </c>
    </row>
    <row r="19" spans="1:5">
      <c r="A19" s="9" t="s">
        <v>541</v>
      </c>
      <c r="B19" s="9">
        <f>COUNTIFS(Requirements!$B$3:$B$229,$A19,Requirements!$E$3:$E$229,"Phase 1")</f>
        <v>5</v>
      </c>
      <c r="C19" s="9">
        <f>COUNTIFS(Requirements!$B$3:$B$229,$A19,Requirements!$E$3:$E$229,"Phase 2")</f>
        <v>2</v>
      </c>
      <c r="D19" s="9">
        <f>COUNTIFS(Requirements!$B$3:$B$229,$A19,Requirements!$E$3:$E$229,"Phase 3")</f>
        <v>0</v>
      </c>
      <c r="E19" s="10">
        <f t="shared" si="0"/>
        <v>7</v>
      </c>
    </row>
    <row r="20" spans="1:5">
      <c r="A20" s="9" t="s">
        <v>574</v>
      </c>
      <c r="B20" s="9">
        <f>COUNTIFS(Requirements!$B$3:$B$229,$A20,Requirements!$E$3:$E$229,"Phase 1")</f>
        <v>9</v>
      </c>
      <c r="C20" s="9">
        <f>COUNTIFS(Requirements!$B$3:$B$229,$A20,Requirements!$E$3:$E$229,"Phase 2")</f>
        <v>3</v>
      </c>
      <c r="D20" s="9">
        <f>COUNTIFS(Requirements!$B$3:$B$229,$A20,Requirements!$E$3:$E$229,"Phase 3")</f>
        <v>0</v>
      </c>
      <c r="E20" s="10">
        <f t="shared" si="0"/>
        <v>12</v>
      </c>
    </row>
    <row r="21" spans="1:5">
      <c r="A21" s="9" t="s">
        <v>629</v>
      </c>
      <c r="B21" s="9">
        <f>COUNTIFS(Requirements!$B$3:$B$229,$A21,Requirements!$E$3:$E$229,"Phase 1")</f>
        <v>8</v>
      </c>
      <c r="C21" s="9">
        <f>COUNTIFS(Requirements!$B$3:$B$229,$A21,Requirements!$E$3:$E$229,"Phase 2")</f>
        <v>0</v>
      </c>
      <c r="D21" s="9">
        <f>COUNTIFS(Requirements!$B$3:$B$229,$A21,Requirements!$E$3:$E$229,"Phase 3")</f>
        <v>1</v>
      </c>
      <c r="E21" s="10">
        <f t="shared" si="0"/>
        <v>9</v>
      </c>
    </row>
    <row r="22" spans="1:5">
      <c r="A22" s="9" t="s">
        <v>667</v>
      </c>
      <c r="B22" s="9">
        <f>COUNTIFS(Requirements!$B$3:$B$229,$A22,Requirements!$E$3:$E$229,"Phase 1")</f>
        <v>6</v>
      </c>
      <c r="C22" s="9">
        <f>COUNTIFS(Requirements!$B$3:$B$229,$A22,Requirements!$E$3:$E$229,"Phase 2")</f>
        <v>2</v>
      </c>
      <c r="D22" s="9">
        <f>COUNTIFS(Requirements!$B$3:$B$229,$A22,Requirements!$E$3:$E$229,"Phase 3")</f>
        <v>0</v>
      </c>
      <c r="E22" s="10">
        <f t="shared" si="0"/>
        <v>8</v>
      </c>
    </row>
    <row r="23" spans="1:5">
      <c r="A23" s="9" t="s">
        <v>705</v>
      </c>
      <c r="B23" s="9">
        <f>COUNTIFS(Requirements!$B$3:$B$229,$A23,Requirements!$E$3:$E$229,"Phase 1")</f>
        <v>11</v>
      </c>
      <c r="C23" s="9">
        <f>COUNTIFS(Requirements!$B$3:$B$229,$A23,Requirements!$E$3:$E$229,"Phase 2")</f>
        <v>5</v>
      </c>
      <c r="D23" s="9">
        <f>COUNTIFS(Requirements!$B$3:$B$229,$A23,Requirements!$E$3:$E$229,"Phase 3")</f>
        <v>1</v>
      </c>
      <c r="E23" s="10">
        <f t="shared" si="0"/>
        <v>17</v>
      </c>
    </row>
    <row r="24" spans="1:5">
      <c r="A24" s="9" t="s">
        <v>776</v>
      </c>
      <c r="B24" s="9">
        <f>COUNTIFS(Requirements!$B$3:$B$229,$A24,Requirements!$E$3:$E$229,"Phase 1")</f>
        <v>0</v>
      </c>
      <c r="C24" s="9">
        <f>COUNTIFS(Requirements!$B$3:$B$229,$A24,Requirements!$E$3:$E$229,"Phase 2")</f>
        <v>10</v>
      </c>
      <c r="D24" s="9">
        <f>COUNTIFS(Requirements!$B$3:$B$229,$A24,Requirements!$E$3:$E$229,"Phase 3")</f>
        <v>1</v>
      </c>
      <c r="E24" s="10">
        <f t="shared" si="0"/>
        <v>11</v>
      </c>
    </row>
    <row r="25" spans="1:5">
      <c r="A25" s="9" t="s">
        <v>824</v>
      </c>
      <c r="B25" s="9">
        <f>COUNTIFS(Requirements!$B$3:$B$229,$A25,Requirements!$E$3:$E$229,"Phase 1")</f>
        <v>5</v>
      </c>
      <c r="C25" s="9">
        <f>COUNTIFS(Requirements!$B$3:$B$229,$A25,Requirements!$E$3:$E$229,"Phase 2")</f>
        <v>9</v>
      </c>
      <c r="D25" s="9">
        <f>COUNTIFS(Requirements!$B$3:$B$229,$A25,Requirements!$E$3:$E$229,"Phase 3")</f>
        <v>2</v>
      </c>
      <c r="E25" s="10">
        <f t="shared" si="0"/>
        <v>16</v>
      </c>
    </row>
    <row r="26" spans="1:5">
      <c r="A26" s="9" t="s">
        <v>889</v>
      </c>
      <c r="B26" s="9">
        <f>COUNTIFS(Requirements!$B$3:$B$229,$A26,Requirements!$E$3:$E$229,"Phase 1")</f>
        <v>9</v>
      </c>
      <c r="C26" s="9">
        <f>COUNTIFS(Requirements!$B$3:$B$229,$A26,Requirements!$E$3:$E$229,"Phase 2")</f>
        <v>1</v>
      </c>
      <c r="D26" s="9">
        <f>COUNTIFS(Requirements!$B$3:$B$229,$A26,Requirements!$E$3:$E$229,"Phase 3")</f>
        <v>0</v>
      </c>
      <c r="E26" s="10">
        <f t="shared" si="0"/>
        <v>10</v>
      </c>
    </row>
    <row r="27" spans="1:5">
      <c r="A27" s="9" t="s">
        <v>934</v>
      </c>
      <c r="B27" s="9">
        <f>COUNTIFS(Requirements!$B$3:$B$229,$A27,Requirements!$E$3:$E$229,"Phase 1")</f>
        <v>8</v>
      </c>
      <c r="C27" s="9">
        <f>COUNTIFS(Requirements!$B$3:$B$229,$A27,Requirements!$E$3:$E$229,"Phase 2")</f>
        <v>9</v>
      </c>
      <c r="D27" s="9">
        <f>COUNTIFS(Requirements!$B$3:$B$229,$A27,Requirements!$E$3:$E$229,"Phase 3")</f>
        <v>2</v>
      </c>
      <c r="E27" s="10">
        <f t="shared" si="0"/>
        <v>19</v>
      </c>
    </row>
    <row r="28" spans="1:5">
      <c r="A28" s="9" t="s">
        <v>1015</v>
      </c>
      <c r="B28" s="9">
        <f>COUNTIFS(Requirements!$B$3:$B$229,$A28,Requirements!$E$3:$E$229,"Phase 1")</f>
        <v>0</v>
      </c>
      <c r="C28" s="9">
        <f>COUNTIFS(Requirements!$B$3:$B$229,$A28,Requirements!$E$3:$E$229,"Phase 2")</f>
        <v>0</v>
      </c>
      <c r="D28" s="9">
        <f>COUNTIFS(Requirements!$B$3:$B$229,$A28,Requirements!$E$3:$E$229,"Phase 3")</f>
        <v>0</v>
      </c>
      <c r="E28" s="10">
        <f t="shared" si="0"/>
        <v>0</v>
      </c>
    </row>
    <row r="29" spans="1:5">
      <c r="A29" s="9" t="s">
        <v>1016</v>
      </c>
      <c r="B29" s="9">
        <f>COUNTIFS(Requirements!$B$3:$B$229,$A29,Requirements!$E$3:$E$229,"Phase 1")</f>
        <v>0</v>
      </c>
      <c r="C29" s="9">
        <f>COUNTIFS(Requirements!$B$3:$B$229,$A29,Requirements!$E$3:$E$229,"Phase 2")</f>
        <v>0</v>
      </c>
      <c r="D29" s="9">
        <f>COUNTIFS(Requirements!$B$3:$B$229,$A29,Requirements!$E$3:$E$229,"Phase 3")</f>
        <v>0</v>
      </c>
      <c r="E29" s="10">
        <f t="shared" si="0"/>
        <v>0</v>
      </c>
    </row>
    <row r="30" spans="1:5">
      <c r="A30" s="9" t="s">
        <v>1017</v>
      </c>
      <c r="B30" s="9">
        <f>COUNTIFS(Requirements!$B$3:$B$229,$A30,Requirements!$E$3:$E$229,"Phase 1")</f>
        <v>0</v>
      </c>
      <c r="C30" s="9">
        <f>COUNTIFS(Requirements!$B$3:$B$229,$A30,Requirements!$E$3:$E$229,"Phase 2")</f>
        <v>0</v>
      </c>
      <c r="D30" s="9">
        <f>COUNTIFS(Requirements!$B$3:$B$229,$A30,Requirements!$E$3:$E$229,"Phase 3")</f>
        <v>0</v>
      </c>
      <c r="E30" s="10">
        <f t="shared" si="0"/>
        <v>0</v>
      </c>
    </row>
    <row r="31" spans="1:5">
      <c r="A31" s="9" t="s">
        <v>1018</v>
      </c>
      <c r="B31" s="9">
        <f>COUNTIFS(Requirements!$B$3:$B$229,$A31,Requirements!$E$3:$E$229,"Phase 1")</f>
        <v>0</v>
      </c>
      <c r="C31" s="9">
        <f>COUNTIFS(Requirements!$B$3:$B$229,$A31,Requirements!$E$3:$E$229,"Phase 2")</f>
        <v>0</v>
      </c>
      <c r="D31" s="9">
        <f>COUNTIFS(Requirements!$B$3:$B$229,$A31,Requirements!$E$3:$E$229,"Phase 3")</f>
        <v>0</v>
      </c>
      <c r="E31" s="10">
        <f t="shared" si="0"/>
        <v>0</v>
      </c>
    </row>
    <row r="32" spans="1:5">
      <c r="A32" s="9" t="s">
        <v>1019</v>
      </c>
      <c r="B32" s="9">
        <f>COUNTIFS(Requirements!$B$3:$B$229,$A32,Requirements!$E$3:$E$229,"Phase 1")</f>
        <v>0</v>
      </c>
      <c r="C32" s="9">
        <f>COUNTIFS(Requirements!$B$3:$B$229,$A32,Requirements!$E$3:$E$229,"Phase 2")</f>
        <v>0</v>
      </c>
      <c r="D32" s="9">
        <f>COUNTIFS(Requirements!$B$3:$B$229,$A32,Requirements!$E$3:$E$229,"Phase 3")</f>
        <v>0</v>
      </c>
      <c r="E32" s="10">
        <f t="shared" si="0"/>
        <v>0</v>
      </c>
    </row>
    <row r="33" spans="1:5">
      <c r="A33" s="10" t="s">
        <v>1013</v>
      </c>
      <c r="B33" s="10">
        <f>SUM(B13:B32)</f>
        <v>67</v>
      </c>
      <c r="C33" s="10">
        <f>SUM(C13:C32)</f>
        <v>41</v>
      </c>
      <c r="D33" s="10">
        <f>SUM(D13:D32)</f>
        <v>7</v>
      </c>
      <c r="E33" s="10">
        <f>SUM(E13:E32)</f>
        <v>115</v>
      </c>
    </row>
    <row r="35" spans="1:5">
      <c r="A35" s="9" t="s">
        <v>1020</v>
      </c>
      <c r="B35" s="10">
        <f>COUNTIF(Requirements!$G$3:$G$229,"Student")</f>
        <v>30</v>
      </c>
    </row>
    <row r="36" spans="1:5">
      <c r="A36" s="9" t="s">
        <v>1021</v>
      </c>
      <c r="B36" s="10">
        <f>COUNTIF(Requirements!$A$3:$A$229,"NEW-*")</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3A7C"/>
  </sheetPr>
  <dimension ref="A1:E5"/>
  <sheetViews>
    <sheetView zoomScaleNormal="100" workbookViewId="0">
      <pane xSplit="1" ySplit="2" topLeftCell="B4" activePane="bottomRight" state="frozen"/>
      <selection pane="bottomRight" activeCell="E3" sqref="E3"/>
      <selection pane="bottomLeft" activeCell="A3" sqref="A3"/>
      <selection pane="topRight" activeCell="B1" sqref="B1"/>
    </sheetView>
  </sheetViews>
  <sheetFormatPr defaultColWidth="8.7109375" defaultRowHeight="15"/>
  <cols>
    <col min="1" max="1" width="10" customWidth="1"/>
    <col min="2" max="2" width="20" customWidth="1"/>
    <col min="3" max="3" width="22" customWidth="1"/>
    <col min="4" max="4" width="70" customWidth="1"/>
    <col min="5" max="5" width="52" customWidth="1"/>
    <col min="6" max="6" width="34" customWidth="1"/>
  </cols>
  <sheetData>
    <row r="1" spans="1:5" ht="16.5" customHeight="1">
      <c r="A1" s="6" t="s">
        <v>1022</v>
      </c>
    </row>
    <row r="2" spans="1:5" ht="27.75" customHeight="1">
      <c r="A2" s="11" t="s">
        <v>23</v>
      </c>
      <c r="B2" s="11" t="s">
        <v>1023</v>
      </c>
      <c r="C2" s="11" t="s">
        <v>1024</v>
      </c>
      <c r="D2" s="11" t="s">
        <v>1025</v>
      </c>
      <c r="E2" s="11" t="s">
        <v>1026</v>
      </c>
    </row>
    <row r="3" spans="1:5" ht="216.75">
      <c r="A3" s="12" t="s">
        <v>34</v>
      </c>
      <c r="B3" s="13" t="s">
        <v>1027</v>
      </c>
      <c r="C3" s="13" t="s">
        <v>1028</v>
      </c>
      <c r="D3" s="13" t="s">
        <v>1029</v>
      </c>
      <c r="E3" s="13" t="s">
        <v>1030</v>
      </c>
    </row>
    <row r="4" spans="1:5" ht="229.5">
      <c r="A4" s="16" t="s">
        <v>71</v>
      </c>
      <c r="B4" s="17" t="s">
        <v>1031</v>
      </c>
      <c r="C4" s="17" t="s">
        <v>1032</v>
      </c>
      <c r="D4" s="17" t="s">
        <v>1033</v>
      </c>
      <c r="E4" s="17" t="s">
        <v>1034</v>
      </c>
    </row>
    <row r="5" spans="1:5" ht="153">
      <c r="A5" s="12" t="s">
        <v>143</v>
      </c>
      <c r="B5" s="13" t="s">
        <v>1035</v>
      </c>
      <c r="C5" s="13" t="s">
        <v>1036</v>
      </c>
      <c r="D5" s="13" t="s">
        <v>1037</v>
      </c>
      <c r="E5" s="13" t="s">
        <v>1038</v>
      </c>
    </row>
  </sheetData>
  <autoFilter ref="A2:F5"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3775A"/>
  </sheetPr>
  <dimension ref="A1:F33"/>
  <sheetViews>
    <sheetView zoomScaleNormal="100" workbookViewId="0">
      <pane xSplit="1" ySplit="2" topLeftCell="B4" activePane="bottomRight" state="frozen"/>
      <selection pane="bottomRight" activeCell="G2" sqref="G2:H2"/>
      <selection pane="bottomLeft" activeCell="A3" sqref="A3"/>
      <selection pane="topRight" activeCell="B1" sqref="B1"/>
    </sheetView>
  </sheetViews>
  <sheetFormatPr defaultColWidth="8.7109375" defaultRowHeight="15"/>
  <cols>
    <col min="1" max="1" width="8" customWidth="1"/>
    <col min="2" max="2" width="26" customWidth="1"/>
    <col min="3" max="3" width="52" customWidth="1"/>
    <col min="4" max="5" width="10" customWidth="1"/>
    <col min="6" max="6" width="62" customWidth="1"/>
  </cols>
  <sheetData>
    <row r="1" spans="1:6" ht="16.5" customHeight="1">
      <c r="A1" s="6" t="s">
        <v>1039</v>
      </c>
    </row>
    <row r="2" spans="1:6" ht="27.75" customHeight="1">
      <c r="A2" s="11" t="s">
        <v>19</v>
      </c>
      <c r="B2" s="11" t="s">
        <v>21</v>
      </c>
      <c r="C2" s="11" t="s">
        <v>1040</v>
      </c>
      <c r="D2" s="11" t="s">
        <v>23</v>
      </c>
      <c r="E2" s="11" t="s">
        <v>6</v>
      </c>
      <c r="F2" s="11" t="s">
        <v>25</v>
      </c>
    </row>
    <row r="3" spans="1:6" ht="25.5">
      <c r="A3" s="12" t="s">
        <v>468</v>
      </c>
      <c r="B3" s="13" t="s">
        <v>470</v>
      </c>
      <c r="C3" s="13" t="s">
        <v>471</v>
      </c>
      <c r="D3" s="13" t="s">
        <v>34</v>
      </c>
      <c r="E3" s="13" t="s">
        <v>35</v>
      </c>
      <c r="F3" s="13" t="s">
        <v>473</v>
      </c>
    </row>
    <row r="4" spans="1:6" ht="25.5">
      <c r="A4" s="16" t="s">
        <v>476</v>
      </c>
      <c r="B4" s="17" t="s">
        <v>477</v>
      </c>
      <c r="C4" s="17" t="s">
        <v>478</v>
      </c>
      <c r="D4" s="17" t="s">
        <v>34</v>
      </c>
      <c r="E4" s="17" t="s">
        <v>35</v>
      </c>
      <c r="F4" s="17" t="s">
        <v>479</v>
      </c>
    </row>
    <row r="5" spans="1:6" ht="25.5">
      <c r="A5" s="12" t="s">
        <v>480</v>
      </c>
      <c r="B5" s="13" t="s">
        <v>481</v>
      </c>
      <c r="C5" s="13" t="s">
        <v>482</v>
      </c>
      <c r="D5" s="13" t="s">
        <v>34</v>
      </c>
      <c r="E5" s="13" t="s">
        <v>35</v>
      </c>
      <c r="F5" s="13" t="s">
        <v>483</v>
      </c>
    </row>
    <row r="6" spans="1:6" ht="25.5">
      <c r="A6" s="16" t="s">
        <v>484</v>
      </c>
      <c r="B6" s="17" t="s">
        <v>485</v>
      </c>
      <c r="C6" s="17" t="s">
        <v>486</v>
      </c>
      <c r="D6" s="17" t="s">
        <v>34</v>
      </c>
      <c r="E6" s="17" t="s">
        <v>57</v>
      </c>
      <c r="F6" s="17" t="s">
        <v>487</v>
      </c>
    </row>
    <row r="7" spans="1:6" ht="38.25">
      <c r="A7" s="12" t="s">
        <v>488</v>
      </c>
      <c r="B7" s="13" t="s">
        <v>489</v>
      </c>
      <c r="C7" s="13" t="s">
        <v>490</v>
      </c>
      <c r="D7" s="13" t="s">
        <v>34</v>
      </c>
      <c r="E7" s="13" t="s">
        <v>35</v>
      </c>
      <c r="F7" s="13" t="s">
        <v>491</v>
      </c>
    </row>
    <row r="8" spans="1:6" ht="25.5">
      <c r="A8" s="16" t="s">
        <v>492</v>
      </c>
      <c r="B8" s="17" t="s">
        <v>493</v>
      </c>
      <c r="C8" s="17" t="s">
        <v>494</v>
      </c>
      <c r="D8" s="17" t="s">
        <v>34</v>
      </c>
      <c r="E8" s="17" t="s">
        <v>35</v>
      </c>
      <c r="F8" s="17" t="s">
        <v>495</v>
      </c>
    </row>
    <row r="9" spans="1:6" ht="25.5">
      <c r="A9" s="12" t="s">
        <v>496</v>
      </c>
      <c r="B9" s="13" t="s">
        <v>497</v>
      </c>
      <c r="C9" s="13" t="s">
        <v>498</v>
      </c>
      <c r="D9" s="13" t="s">
        <v>34</v>
      </c>
      <c r="E9" s="13" t="s">
        <v>35</v>
      </c>
      <c r="F9" s="13" t="s">
        <v>499</v>
      </c>
    </row>
    <row r="10" spans="1:6" ht="25.5">
      <c r="A10" s="16" t="s">
        <v>500</v>
      </c>
      <c r="B10" s="17" t="s">
        <v>501</v>
      </c>
      <c r="C10" s="17" t="s">
        <v>502</v>
      </c>
      <c r="D10" s="17" t="s">
        <v>34</v>
      </c>
      <c r="E10" s="17" t="s">
        <v>35</v>
      </c>
      <c r="F10" s="17" t="s">
        <v>503</v>
      </c>
    </row>
    <row r="11" spans="1:6" ht="25.5">
      <c r="A11" s="12" t="s">
        <v>504</v>
      </c>
      <c r="B11" s="13" t="s">
        <v>505</v>
      </c>
      <c r="C11" s="13" t="s">
        <v>506</v>
      </c>
      <c r="D11" s="13" t="s">
        <v>34</v>
      </c>
      <c r="E11" s="13" t="s">
        <v>35</v>
      </c>
      <c r="F11" s="13" t="s">
        <v>507</v>
      </c>
    </row>
    <row r="12" spans="1:6" ht="25.5">
      <c r="A12" s="16" t="s">
        <v>508</v>
      </c>
      <c r="B12" s="17" t="s">
        <v>509</v>
      </c>
      <c r="C12" s="17" t="s">
        <v>510</v>
      </c>
      <c r="D12" s="17" t="s">
        <v>34</v>
      </c>
      <c r="E12" s="17" t="s">
        <v>35</v>
      </c>
      <c r="F12" s="17" t="s">
        <v>511</v>
      </c>
    </row>
    <row r="13" spans="1:6" ht="25.5">
      <c r="A13" s="12" t="s">
        <v>520</v>
      </c>
      <c r="B13" s="13" t="s">
        <v>521</v>
      </c>
      <c r="C13" s="13" t="s">
        <v>522</v>
      </c>
      <c r="D13" s="13" t="s">
        <v>34</v>
      </c>
      <c r="E13" s="13" t="s">
        <v>35</v>
      </c>
      <c r="F13" s="13" t="s">
        <v>523</v>
      </c>
    </row>
    <row r="14" spans="1:6" ht="25.5">
      <c r="A14" s="16" t="s">
        <v>524</v>
      </c>
      <c r="B14" s="17" t="s">
        <v>525</v>
      </c>
      <c r="C14" s="17" t="s">
        <v>526</v>
      </c>
      <c r="D14" s="17" t="s">
        <v>34</v>
      </c>
      <c r="E14" s="17" t="s">
        <v>57</v>
      </c>
      <c r="F14" s="17" t="s">
        <v>527</v>
      </c>
    </row>
    <row r="15" spans="1:6" ht="25.5">
      <c r="A15" s="12" t="s">
        <v>528</v>
      </c>
      <c r="B15" s="13" t="s">
        <v>529</v>
      </c>
      <c r="C15" s="13" t="s">
        <v>530</v>
      </c>
      <c r="D15" s="13" t="s">
        <v>34</v>
      </c>
      <c r="E15" s="13" t="s">
        <v>57</v>
      </c>
      <c r="F15" s="13" t="s">
        <v>531</v>
      </c>
    </row>
    <row r="16" spans="1:6" ht="25.5">
      <c r="A16" s="16" t="s">
        <v>532</v>
      </c>
      <c r="B16" s="17" t="s">
        <v>533</v>
      </c>
      <c r="C16" s="17" t="s">
        <v>534</v>
      </c>
      <c r="D16" s="17" t="s">
        <v>71</v>
      </c>
      <c r="E16" s="17" t="s">
        <v>57</v>
      </c>
      <c r="F16" s="17" t="s">
        <v>535</v>
      </c>
    </row>
    <row r="17" spans="1:6" ht="25.5">
      <c r="A17" s="12" t="s">
        <v>536</v>
      </c>
      <c r="B17" s="13" t="s">
        <v>537</v>
      </c>
      <c r="C17" s="13" t="s">
        <v>538</v>
      </c>
      <c r="D17" s="13" t="s">
        <v>34</v>
      </c>
      <c r="E17" s="13" t="s">
        <v>57</v>
      </c>
      <c r="F17" s="13" t="s">
        <v>539</v>
      </c>
    </row>
    <row r="18" spans="1:6" ht="25.5">
      <c r="A18" s="16" t="s">
        <v>583</v>
      </c>
      <c r="B18" s="17" t="s">
        <v>584</v>
      </c>
      <c r="C18" s="17" t="s">
        <v>585</v>
      </c>
      <c r="D18" s="17" t="s">
        <v>34</v>
      </c>
      <c r="E18" s="17" t="s">
        <v>35</v>
      </c>
      <c r="F18" s="17" t="s">
        <v>586</v>
      </c>
    </row>
    <row r="19" spans="1:6" ht="25.5">
      <c r="A19" s="12" t="s">
        <v>587</v>
      </c>
      <c r="B19" s="13" t="s">
        <v>588</v>
      </c>
      <c r="C19" s="13" t="s">
        <v>589</v>
      </c>
      <c r="D19" s="13" t="s">
        <v>34</v>
      </c>
      <c r="E19" s="13" t="s">
        <v>57</v>
      </c>
      <c r="F19" s="13" t="s">
        <v>590</v>
      </c>
    </row>
    <row r="20" spans="1:6" ht="25.5">
      <c r="A20" s="16" t="s">
        <v>591</v>
      </c>
      <c r="B20" s="17" t="s">
        <v>592</v>
      </c>
      <c r="C20" s="17" t="s">
        <v>593</v>
      </c>
      <c r="D20" s="17" t="s">
        <v>71</v>
      </c>
      <c r="E20" s="17" t="s">
        <v>57</v>
      </c>
      <c r="F20" s="17" t="s">
        <v>594</v>
      </c>
    </row>
    <row r="21" spans="1:6" ht="25.5">
      <c r="A21" s="12" t="s">
        <v>637</v>
      </c>
      <c r="B21" s="13" t="s">
        <v>638</v>
      </c>
      <c r="C21" s="13" t="s">
        <v>639</v>
      </c>
      <c r="D21" s="13" t="s">
        <v>34</v>
      </c>
      <c r="E21" s="13" t="s">
        <v>35</v>
      </c>
      <c r="F21" s="13" t="s">
        <v>640</v>
      </c>
    </row>
    <row r="22" spans="1:6" ht="25.5">
      <c r="A22" s="16" t="s">
        <v>679</v>
      </c>
      <c r="B22" s="17" t="s">
        <v>680</v>
      </c>
      <c r="C22" s="17" t="s">
        <v>681</v>
      </c>
      <c r="D22" s="17" t="s">
        <v>34</v>
      </c>
      <c r="E22" s="17" t="s">
        <v>35</v>
      </c>
      <c r="F22" s="17" t="s">
        <v>682</v>
      </c>
    </row>
    <row r="23" spans="1:6" ht="25.5">
      <c r="A23" s="12" t="s">
        <v>755</v>
      </c>
      <c r="B23" s="13" t="s">
        <v>756</v>
      </c>
      <c r="C23" s="13" t="s">
        <v>757</v>
      </c>
      <c r="D23" s="13" t="s">
        <v>34</v>
      </c>
      <c r="E23" s="13" t="s">
        <v>35</v>
      </c>
      <c r="F23" s="13" t="s">
        <v>758</v>
      </c>
    </row>
    <row r="24" spans="1:6" ht="25.5">
      <c r="A24" s="16" t="s">
        <v>759</v>
      </c>
      <c r="B24" s="17" t="s">
        <v>760</v>
      </c>
      <c r="C24" s="17" t="s">
        <v>761</v>
      </c>
      <c r="D24" s="17" t="s">
        <v>34</v>
      </c>
      <c r="E24" s="17" t="s">
        <v>35</v>
      </c>
      <c r="F24" s="17" t="s">
        <v>762</v>
      </c>
    </row>
    <row r="25" spans="1:6" ht="25.5">
      <c r="A25" s="12" t="s">
        <v>787</v>
      </c>
      <c r="B25" s="13" t="s">
        <v>788</v>
      </c>
      <c r="C25" s="13" t="s">
        <v>789</v>
      </c>
      <c r="D25" s="13" t="s">
        <v>71</v>
      </c>
      <c r="E25" s="13" t="s">
        <v>57</v>
      </c>
      <c r="F25" s="13" t="s">
        <v>790</v>
      </c>
    </row>
    <row r="26" spans="1:6" ht="25.5">
      <c r="A26" s="16" t="s">
        <v>840</v>
      </c>
      <c r="B26" s="17" t="s">
        <v>841</v>
      </c>
      <c r="C26" s="17" t="s">
        <v>842</v>
      </c>
      <c r="D26" s="17" t="s">
        <v>34</v>
      </c>
      <c r="E26" s="17" t="s">
        <v>35</v>
      </c>
      <c r="F26" s="17" t="s">
        <v>843</v>
      </c>
    </row>
    <row r="27" spans="1:6" ht="25.5">
      <c r="A27" s="12" t="s">
        <v>844</v>
      </c>
      <c r="B27" s="13" t="s">
        <v>845</v>
      </c>
      <c r="C27" s="13" t="s">
        <v>846</v>
      </c>
      <c r="D27" s="13" t="s">
        <v>34</v>
      </c>
      <c r="E27" s="13" t="s">
        <v>35</v>
      </c>
      <c r="F27" s="13" t="s">
        <v>847</v>
      </c>
    </row>
    <row r="28" spans="1:6" ht="25.5">
      <c r="A28" s="16" t="s">
        <v>848</v>
      </c>
      <c r="B28" s="17" t="s">
        <v>849</v>
      </c>
      <c r="C28" s="17" t="s">
        <v>850</v>
      </c>
      <c r="D28" s="17" t="s">
        <v>34</v>
      </c>
      <c r="E28" s="17" t="s">
        <v>35</v>
      </c>
      <c r="F28" s="17" t="s">
        <v>851</v>
      </c>
    </row>
    <row r="29" spans="1:6" ht="25.5">
      <c r="A29" s="12" t="s">
        <v>852</v>
      </c>
      <c r="B29" s="13" t="s">
        <v>853</v>
      </c>
      <c r="C29" s="13" t="s">
        <v>854</v>
      </c>
      <c r="D29" s="13" t="s">
        <v>34</v>
      </c>
      <c r="E29" s="13" t="s">
        <v>35</v>
      </c>
      <c r="F29" s="13" t="s">
        <v>855</v>
      </c>
    </row>
    <row r="30" spans="1:6" ht="25.5">
      <c r="A30" s="16" t="s">
        <v>856</v>
      </c>
      <c r="B30" s="17" t="s">
        <v>857</v>
      </c>
      <c r="C30" s="17" t="s">
        <v>858</v>
      </c>
      <c r="D30" s="17" t="s">
        <v>34</v>
      </c>
      <c r="E30" s="17" t="s">
        <v>35</v>
      </c>
      <c r="F30" s="17" t="s">
        <v>859</v>
      </c>
    </row>
    <row r="31" spans="1:6" ht="25.5">
      <c r="A31" s="12" t="s">
        <v>860</v>
      </c>
      <c r="B31" s="13" t="s">
        <v>861</v>
      </c>
      <c r="C31" s="13" t="s">
        <v>862</v>
      </c>
      <c r="D31" s="13" t="s">
        <v>71</v>
      </c>
      <c r="E31" s="13" t="s">
        <v>57</v>
      </c>
      <c r="F31" s="13" t="s">
        <v>863</v>
      </c>
    </row>
    <row r="32" spans="1:6" ht="25.5">
      <c r="A32" s="16" t="s">
        <v>921</v>
      </c>
      <c r="B32" s="17" t="s">
        <v>922</v>
      </c>
      <c r="C32" s="17" t="s">
        <v>923</v>
      </c>
      <c r="D32" s="17" t="s">
        <v>34</v>
      </c>
      <c r="E32" s="17" t="s">
        <v>35</v>
      </c>
      <c r="F32" s="17" t="s">
        <v>924</v>
      </c>
    </row>
    <row r="33" spans="1:6" ht="25.5">
      <c r="A33" s="12" t="s">
        <v>1041</v>
      </c>
      <c r="B33" s="13" t="s">
        <v>1042</v>
      </c>
      <c r="C33" s="13" t="s">
        <v>1043</v>
      </c>
      <c r="D33" s="13" t="s">
        <v>34</v>
      </c>
      <c r="E33" s="13" t="s">
        <v>35</v>
      </c>
      <c r="F33" s="13" t="s">
        <v>1044</v>
      </c>
    </row>
  </sheetData>
  <autoFilter ref="A2:F33"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3A7C"/>
  </sheetPr>
  <dimension ref="A1:I36"/>
  <sheetViews>
    <sheetView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42" customWidth="1"/>
    <col min="2" max="2" width="13" customWidth="1"/>
    <col min="3" max="3" width="16" customWidth="1"/>
    <col min="4" max="4" width="13" customWidth="1"/>
    <col min="5" max="5" width="15" customWidth="1"/>
    <col min="6" max="6" width="14" customWidth="1"/>
    <col min="7" max="9" width="13" customWidth="1"/>
  </cols>
  <sheetData>
    <row r="1" spans="1:9" ht="16.5" customHeight="1">
      <c r="A1" s="6" t="s">
        <v>1045</v>
      </c>
    </row>
    <row r="2" spans="1:9" ht="27.75" customHeight="1">
      <c r="A2" s="11" t="s">
        <v>1046</v>
      </c>
      <c r="B2" s="11" t="s">
        <v>36</v>
      </c>
      <c r="C2" s="11" t="s">
        <v>1047</v>
      </c>
      <c r="D2" s="11" t="s">
        <v>66</v>
      </c>
      <c r="E2" s="11" t="s">
        <v>93</v>
      </c>
      <c r="F2" s="11" t="s">
        <v>81</v>
      </c>
      <c r="G2" s="11" t="s">
        <v>690</v>
      </c>
      <c r="H2" s="11" t="s">
        <v>648</v>
      </c>
      <c r="I2" s="11" t="s">
        <v>472</v>
      </c>
    </row>
    <row r="3" spans="1:9">
      <c r="A3" s="12" t="s">
        <v>1048</v>
      </c>
      <c r="B3" s="18" t="s">
        <v>1049</v>
      </c>
      <c r="C3" s="18" t="s">
        <v>1050</v>
      </c>
      <c r="D3" s="18" t="s">
        <v>1051</v>
      </c>
      <c r="E3" s="18" t="s">
        <v>1051</v>
      </c>
      <c r="F3" s="18" t="s">
        <v>1051</v>
      </c>
      <c r="G3" s="18" t="s">
        <v>1051</v>
      </c>
      <c r="H3" s="18" t="s">
        <v>1051</v>
      </c>
      <c r="I3" s="18" t="s">
        <v>1051</v>
      </c>
    </row>
    <row r="4" spans="1:9">
      <c r="A4" s="16" t="s">
        <v>1052</v>
      </c>
      <c r="B4" s="20" t="s">
        <v>1049</v>
      </c>
      <c r="C4" s="20" t="s">
        <v>1051</v>
      </c>
      <c r="D4" s="20" t="s">
        <v>1051</v>
      </c>
      <c r="E4" s="20" t="s">
        <v>1051</v>
      </c>
      <c r="F4" s="20" t="s">
        <v>1051</v>
      </c>
      <c r="G4" s="20" t="s">
        <v>1051</v>
      </c>
      <c r="H4" s="20" t="s">
        <v>1051</v>
      </c>
      <c r="I4" s="20" t="s">
        <v>1051</v>
      </c>
    </row>
    <row r="5" spans="1:9">
      <c r="A5" s="12" t="s">
        <v>1053</v>
      </c>
      <c r="B5" s="18" t="s">
        <v>1054</v>
      </c>
      <c r="C5" s="18" t="s">
        <v>1054</v>
      </c>
      <c r="D5" s="18" t="s">
        <v>1055</v>
      </c>
      <c r="E5" s="18" t="s">
        <v>1056</v>
      </c>
      <c r="F5" s="18" t="s">
        <v>1057</v>
      </c>
      <c r="G5" s="18" t="s">
        <v>1051</v>
      </c>
      <c r="H5" s="18" t="s">
        <v>1051</v>
      </c>
      <c r="I5" s="18" t="s">
        <v>1051</v>
      </c>
    </row>
    <row r="6" spans="1:9">
      <c r="A6" s="16" t="s">
        <v>1058</v>
      </c>
      <c r="B6" s="20" t="s">
        <v>1049</v>
      </c>
      <c r="C6" s="20" t="s">
        <v>1049</v>
      </c>
      <c r="D6" s="20" t="s">
        <v>1049</v>
      </c>
      <c r="E6" s="20" t="s">
        <v>1059</v>
      </c>
      <c r="F6" s="20" t="s">
        <v>1060</v>
      </c>
      <c r="G6" s="20" t="s">
        <v>1051</v>
      </c>
      <c r="H6" s="20" t="s">
        <v>1051</v>
      </c>
      <c r="I6" s="20" t="s">
        <v>1051</v>
      </c>
    </row>
    <row r="7" spans="1:9">
      <c r="A7" s="12" t="s">
        <v>1061</v>
      </c>
      <c r="B7" s="18" t="s">
        <v>1049</v>
      </c>
      <c r="C7" s="18" t="s">
        <v>1049</v>
      </c>
      <c r="D7" s="18" t="s">
        <v>1055</v>
      </c>
      <c r="E7" s="18" t="s">
        <v>1051</v>
      </c>
      <c r="F7" s="18" t="s">
        <v>1051</v>
      </c>
      <c r="G7" s="18" t="s">
        <v>1051</v>
      </c>
      <c r="H7" s="18" t="s">
        <v>1051</v>
      </c>
      <c r="I7" s="18" t="s">
        <v>1051</v>
      </c>
    </row>
    <row r="8" spans="1:9">
      <c r="A8" s="16" t="s">
        <v>1062</v>
      </c>
      <c r="B8" s="20" t="s">
        <v>1049</v>
      </c>
      <c r="C8" s="20" t="s">
        <v>1049</v>
      </c>
      <c r="D8" s="20" t="s">
        <v>1055</v>
      </c>
      <c r="E8" s="20" t="s">
        <v>1056</v>
      </c>
      <c r="F8" s="20" t="s">
        <v>1051</v>
      </c>
      <c r="G8" s="20" t="s">
        <v>1051</v>
      </c>
      <c r="H8" s="20" t="s">
        <v>1051</v>
      </c>
      <c r="I8" s="20" t="s">
        <v>1051</v>
      </c>
    </row>
    <row r="9" spans="1:9">
      <c r="A9" s="12" t="s">
        <v>1063</v>
      </c>
      <c r="B9" s="18" t="s">
        <v>1049</v>
      </c>
      <c r="C9" s="18" t="s">
        <v>1049</v>
      </c>
      <c r="D9" s="18" t="s">
        <v>1055</v>
      </c>
      <c r="E9" s="18" t="s">
        <v>1056</v>
      </c>
      <c r="F9" s="18" t="s">
        <v>1051</v>
      </c>
      <c r="G9" s="18" t="s">
        <v>1051</v>
      </c>
      <c r="H9" s="18" t="s">
        <v>1051</v>
      </c>
      <c r="I9" s="18" t="s">
        <v>1051</v>
      </c>
    </row>
    <row r="10" spans="1:9">
      <c r="A10" s="16" t="s">
        <v>1064</v>
      </c>
      <c r="B10" s="20" t="s">
        <v>1049</v>
      </c>
      <c r="C10" s="20" t="s">
        <v>1050</v>
      </c>
      <c r="D10" s="20" t="s">
        <v>1050</v>
      </c>
      <c r="E10" s="20" t="s">
        <v>1051</v>
      </c>
      <c r="F10" s="20" t="s">
        <v>1049</v>
      </c>
      <c r="G10" s="20" t="s">
        <v>1051</v>
      </c>
      <c r="H10" s="20" t="s">
        <v>1051</v>
      </c>
      <c r="I10" s="20" t="s">
        <v>1051</v>
      </c>
    </row>
    <row r="11" spans="1:9">
      <c r="A11" s="12" t="s">
        <v>1065</v>
      </c>
      <c r="B11" s="18" t="s">
        <v>1049</v>
      </c>
      <c r="C11" s="18" t="s">
        <v>1050</v>
      </c>
      <c r="D11" s="18" t="s">
        <v>1051</v>
      </c>
      <c r="E11" s="18" t="s">
        <v>1051</v>
      </c>
      <c r="F11" s="18" t="s">
        <v>1049</v>
      </c>
      <c r="G11" s="18" t="s">
        <v>1051</v>
      </c>
      <c r="H11" s="18" t="s">
        <v>1051</v>
      </c>
      <c r="I11" s="18" t="s">
        <v>1051</v>
      </c>
    </row>
    <row r="12" spans="1:9">
      <c r="A12" s="16" t="s">
        <v>1066</v>
      </c>
      <c r="B12" s="20" t="s">
        <v>1049</v>
      </c>
      <c r="C12" s="20" t="s">
        <v>1050</v>
      </c>
      <c r="D12" s="20" t="s">
        <v>1051</v>
      </c>
      <c r="E12" s="20" t="s">
        <v>1051</v>
      </c>
      <c r="F12" s="20" t="s">
        <v>1067</v>
      </c>
      <c r="G12" s="20" t="s">
        <v>1051</v>
      </c>
      <c r="H12" s="20" t="s">
        <v>1051</v>
      </c>
      <c r="I12" s="20" t="s">
        <v>1051</v>
      </c>
    </row>
    <row r="13" spans="1:9">
      <c r="A13" s="12" t="s">
        <v>1068</v>
      </c>
      <c r="B13" s="18" t="s">
        <v>1049</v>
      </c>
      <c r="C13" s="18" t="s">
        <v>1049</v>
      </c>
      <c r="D13" s="18" t="s">
        <v>1050</v>
      </c>
      <c r="E13" s="18" t="s">
        <v>1050</v>
      </c>
      <c r="F13" s="18" t="s">
        <v>1051</v>
      </c>
      <c r="G13" s="18" t="s">
        <v>1051</v>
      </c>
      <c r="H13" s="18" t="s">
        <v>1051</v>
      </c>
      <c r="I13" s="18" t="s">
        <v>1051</v>
      </c>
    </row>
    <row r="14" spans="1:9">
      <c r="A14" s="16" t="s">
        <v>1069</v>
      </c>
      <c r="B14" s="20" t="s">
        <v>1049</v>
      </c>
      <c r="C14" s="20" t="s">
        <v>1049</v>
      </c>
      <c r="D14" s="20" t="s">
        <v>1055</v>
      </c>
      <c r="E14" s="20" t="s">
        <v>1056</v>
      </c>
      <c r="F14" s="20" t="s">
        <v>1051</v>
      </c>
      <c r="G14" s="20" t="s">
        <v>1051</v>
      </c>
      <c r="H14" s="20" t="s">
        <v>1050</v>
      </c>
      <c r="I14" s="20" t="s">
        <v>1056</v>
      </c>
    </row>
    <row r="15" spans="1:9">
      <c r="A15" s="12" t="s">
        <v>1070</v>
      </c>
      <c r="B15" s="18" t="s">
        <v>1049</v>
      </c>
      <c r="C15" s="18" t="s">
        <v>1049</v>
      </c>
      <c r="D15" s="18" t="s">
        <v>1055</v>
      </c>
      <c r="E15" s="18" t="s">
        <v>1056</v>
      </c>
      <c r="F15" s="18" t="s">
        <v>1051</v>
      </c>
      <c r="G15" s="18" t="s">
        <v>1051</v>
      </c>
      <c r="H15" s="18" t="s">
        <v>1071</v>
      </c>
      <c r="I15" s="18" t="s">
        <v>1072</v>
      </c>
    </row>
    <row r="16" spans="1:9">
      <c r="A16" s="16" t="s">
        <v>1073</v>
      </c>
      <c r="B16" s="20" t="s">
        <v>1049</v>
      </c>
      <c r="C16" s="20" t="s">
        <v>1049</v>
      </c>
      <c r="D16" s="20" t="s">
        <v>1055</v>
      </c>
      <c r="E16" s="20" t="s">
        <v>1074</v>
      </c>
      <c r="F16" s="20" t="s">
        <v>1051</v>
      </c>
      <c r="G16" s="20" t="s">
        <v>1051</v>
      </c>
      <c r="H16" s="20" t="s">
        <v>1071</v>
      </c>
      <c r="I16" s="20" t="s">
        <v>1051</v>
      </c>
    </row>
    <row r="17" spans="1:9">
      <c r="A17" s="12" t="s">
        <v>1075</v>
      </c>
      <c r="B17" s="18" t="s">
        <v>1049</v>
      </c>
      <c r="C17" s="18" t="s">
        <v>1049</v>
      </c>
      <c r="D17" s="18" t="s">
        <v>1050</v>
      </c>
      <c r="E17" s="18" t="s">
        <v>1050</v>
      </c>
      <c r="F17" s="18" t="s">
        <v>1051</v>
      </c>
      <c r="G17" s="18" t="s">
        <v>1050</v>
      </c>
      <c r="H17" s="18" t="s">
        <v>1051</v>
      </c>
      <c r="I17" s="18" t="s">
        <v>1076</v>
      </c>
    </row>
    <row r="18" spans="1:9">
      <c r="A18" s="16" t="s">
        <v>1077</v>
      </c>
      <c r="B18" s="20" t="s">
        <v>1049</v>
      </c>
      <c r="C18" s="20" t="s">
        <v>1049</v>
      </c>
      <c r="D18" s="20" t="s">
        <v>1055</v>
      </c>
      <c r="E18" s="20" t="s">
        <v>1078</v>
      </c>
      <c r="F18" s="20" t="s">
        <v>1051</v>
      </c>
      <c r="G18" s="20" t="s">
        <v>1049</v>
      </c>
      <c r="H18" s="20" t="s">
        <v>1051</v>
      </c>
      <c r="I18" s="20" t="s">
        <v>1056</v>
      </c>
    </row>
    <row r="19" spans="1:9">
      <c r="A19" s="12" t="s">
        <v>1079</v>
      </c>
      <c r="B19" s="18" t="s">
        <v>1049</v>
      </c>
      <c r="C19" s="18" t="s">
        <v>1051</v>
      </c>
      <c r="D19" s="18" t="s">
        <v>1051</v>
      </c>
      <c r="E19" s="18" t="s">
        <v>1051</v>
      </c>
      <c r="F19" s="18" t="s">
        <v>1051</v>
      </c>
      <c r="G19" s="18" t="s">
        <v>1049</v>
      </c>
      <c r="H19" s="18" t="s">
        <v>1051</v>
      </c>
      <c r="I19" s="18" t="s">
        <v>1051</v>
      </c>
    </row>
    <row r="20" spans="1:9">
      <c r="A20" s="16" t="s">
        <v>1080</v>
      </c>
      <c r="B20" s="20" t="s">
        <v>1049</v>
      </c>
      <c r="C20" s="20" t="s">
        <v>1051</v>
      </c>
      <c r="D20" s="20" t="s">
        <v>1051</v>
      </c>
      <c r="E20" s="20" t="s">
        <v>1051</v>
      </c>
      <c r="F20" s="20" t="s">
        <v>1051</v>
      </c>
      <c r="G20" s="20" t="s">
        <v>1049</v>
      </c>
      <c r="H20" s="20" t="s">
        <v>1051</v>
      </c>
      <c r="I20" s="20" t="s">
        <v>1051</v>
      </c>
    </row>
    <row r="21" spans="1:9">
      <c r="A21" s="12" t="s">
        <v>1081</v>
      </c>
      <c r="B21" s="18" t="s">
        <v>1049</v>
      </c>
      <c r="C21" s="18" t="s">
        <v>1049</v>
      </c>
      <c r="D21" s="18" t="s">
        <v>1055</v>
      </c>
      <c r="E21" s="18" t="s">
        <v>1056</v>
      </c>
      <c r="F21" s="18" t="s">
        <v>1051</v>
      </c>
      <c r="G21" s="18" t="s">
        <v>1050</v>
      </c>
      <c r="H21" s="18" t="s">
        <v>1051</v>
      </c>
      <c r="I21" s="18" t="s">
        <v>1056</v>
      </c>
    </row>
    <row r="22" spans="1:9">
      <c r="A22" s="16" t="s">
        <v>1082</v>
      </c>
      <c r="B22" s="20" t="s">
        <v>1049</v>
      </c>
      <c r="C22" s="20" t="s">
        <v>1049</v>
      </c>
      <c r="D22" s="20" t="s">
        <v>1055</v>
      </c>
      <c r="E22" s="20" t="s">
        <v>1056</v>
      </c>
      <c r="F22" s="20" t="s">
        <v>1051</v>
      </c>
      <c r="G22" s="20" t="s">
        <v>1051</v>
      </c>
      <c r="H22" s="20" t="s">
        <v>1051</v>
      </c>
      <c r="I22" s="20" t="s">
        <v>1083</v>
      </c>
    </row>
    <row r="23" spans="1:9">
      <c r="A23" s="12" t="s">
        <v>1084</v>
      </c>
      <c r="B23" s="18" t="s">
        <v>1049</v>
      </c>
      <c r="C23" s="18" t="s">
        <v>1049</v>
      </c>
      <c r="D23" s="18" t="s">
        <v>1055</v>
      </c>
      <c r="E23" s="18" t="s">
        <v>1056</v>
      </c>
      <c r="F23" s="18" t="s">
        <v>1085</v>
      </c>
      <c r="G23" s="18" t="s">
        <v>1086</v>
      </c>
      <c r="H23" s="18" t="s">
        <v>1071</v>
      </c>
      <c r="I23" s="18" t="s">
        <v>1051</v>
      </c>
    </row>
    <row r="24" spans="1:9">
      <c r="A24" s="16" t="s">
        <v>1087</v>
      </c>
      <c r="B24" s="20" t="s">
        <v>1049</v>
      </c>
      <c r="C24" s="20" t="s">
        <v>1049</v>
      </c>
      <c r="D24" s="20" t="s">
        <v>1055</v>
      </c>
      <c r="E24" s="20" t="s">
        <v>1051</v>
      </c>
      <c r="F24" s="20" t="s">
        <v>1085</v>
      </c>
      <c r="G24" s="20" t="s">
        <v>1086</v>
      </c>
      <c r="H24" s="20" t="s">
        <v>1051</v>
      </c>
      <c r="I24" s="20" t="s">
        <v>1051</v>
      </c>
    </row>
    <row r="25" spans="1:9">
      <c r="A25" s="12" t="s">
        <v>1088</v>
      </c>
      <c r="B25" s="18" t="s">
        <v>1049</v>
      </c>
      <c r="C25" s="18" t="s">
        <v>1050</v>
      </c>
      <c r="D25" s="18" t="s">
        <v>1051</v>
      </c>
      <c r="E25" s="18" t="s">
        <v>1051</v>
      </c>
      <c r="F25" s="18" t="s">
        <v>1051</v>
      </c>
      <c r="G25" s="18" t="s">
        <v>1051</v>
      </c>
      <c r="H25" s="18" t="s">
        <v>1051</v>
      </c>
      <c r="I25" s="18" t="s">
        <v>1051</v>
      </c>
    </row>
    <row r="28" spans="1:9">
      <c r="A28" s="7" t="s">
        <v>1089</v>
      </c>
    </row>
    <row r="29" spans="1:9">
      <c r="A29" s="8" t="s">
        <v>1090</v>
      </c>
      <c r="B29" s="8" t="s">
        <v>1091</v>
      </c>
      <c r="C29" s="8" t="s">
        <v>1092</v>
      </c>
    </row>
    <row r="30" spans="1:9" ht="63.75">
      <c r="A30" s="12" t="s">
        <v>30</v>
      </c>
      <c r="B30" s="13" t="s">
        <v>1093</v>
      </c>
      <c r="C30" s="13" t="s">
        <v>1094</v>
      </c>
    </row>
    <row r="31" spans="1:9" ht="102">
      <c r="A31" s="12" t="s">
        <v>42</v>
      </c>
      <c r="B31" s="13" t="s">
        <v>1095</v>
      </c>
      <c r="C31" s="13" t="s">
        <v>1096</v>
      </c>
    </row>
    <row r="32" spans="1:9" ht="76.5">
      <c r="A32" s="12" t="s">
        <v>46</v>
      </c>
      <c r="B32" s="13" t="s">
        <v>1097</v>
      </c>
      <c r="C32" s="13" t="s">
        <v>1098</v>
      </c>
    </row>
    <row r="33" spans="1:3" ht="76.5">
      <c r="A33" s="12" t="s">
        <v>50</v>
      </c>
      <c r="B33" s="13" t="s">
        <v>1099</v>
      </c>
      <c r="C33" s="13" t="s">
        <v>1100</v>
      </c>
    </row>
    <row r="34" spans="1:3" ht="51">
      <c r="A34" s="12" t="s">
        <v>54</v>
      </c>
      <c r="B34" s="13" t="s">
        <v>1101</v>
      </c>
      <c r="C34" s="13" t="s">
        <v>1102</v>
      </c>
    </row>
    <row r="35" spans="1:3" ht="76.5">
      <c r="A35" s="12" t="s">
        <v>59</v>
      </c>
      <c r="B35" s="13" t="s">
        <v>1103</v>
      </c>
      <c r="C35" s="13" t="s">
        <v>1104</v>
      </c>
    </row>
    <row r="36" spans="1:3" ht="63.75">
      <c r="A36" s="12" t="s">
        <v>63</v>
      </c>
      <c r="B36" s="13" t="s">
        <v>1105</v>
      </c>
      <c r="C36" s="13" t="s">
        <v>1106</v>
      </c>
    </row>
  </sheetData>
  <autoFilter ref="A2:I2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3775A"/>
  </sheetPr>
  <dimension ref="A1:F18"/>
  <sheetViews>
    <sheetView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8" customWidth="1"/>
    <col min="2" max="2" width="26" customWidth="1"/>
    <col min="3" max="3" width="54" customWidth="1"/>
    <col min="4" max="4" width="46" customWidth="1"/>
    <col min="5" max="5" width="20" customWidth="1"/>
    <col min="6" max="6" width="10" customWidth="1"/>
  </cols>
  <sheetData>
    <row r="1" spans="1:6" ht="16.5" customHeight="1">
      <c r="A1" s="6" t="s">
        <v>1107</v>
      </c>
    </row>
    <row r="2" spans="1:6" ht="27.75" customHeight="1">
      <c r="A2" s="11" t="s">
        <v>1090</v>
      </c>
      <c r="B2" s="11" t="s">
        <v>1108</v>
      </c>
      <c r="C2" s="11" t="s">
        <v>1109</v>
      </c>
      <c r="D2" s="11" t="s">
        <v>1110</v>
      </c>
      <c r="E2" s="11" t="s">
        <v>1111</v>
      </c>
      <c r="F2" s="11" t="s">
        <v>23</v>
      </c>
    </row>
    <row r="3" spans="1:6" ht="25.5">
      <c r="A3" s="12" t="s">
        <v>1112</v>
      </c>
      <c r="B3" s="13" t="s">
        <v>1113</v>
      </c>
      <c r="C3" s="13" t="s">
        <v>1114</v>
      </c>
      <c r="D3" s="13" t="s">
        <v>1115</v>
      </c>
      <c r="E3" s="13" t="s">
        <v>1116</v>
      </c>
      <c r="F3" s="13" t="s">
        <v>34</v>
      </c>
    </row>
    <row r="4" spans="1:6" ht="25.5">
      <c r="A4" s="16" t="s">
        <v>1117</v>
      </c>
      <c r="B4" s="17" t="s">
        <v>1118</v>
      </c>
      <c r="C4" s="17" t="s">
        <v>1119</v>
      </c>
      <c r="D4" s="17" t="s">
        <v>1120</v>
      </c>
      <c r="E4" s="17" t="s">
        <v>1121</v>
      </c>
      <c r="F4" s="17" t="s">
        <v>34</v>
      </c>
    </row>
    <row r="5" spans="1:6" ht="25.5">
      <c r="A5" s="12" t="s">
        <v>1122</v>
      </c>
      <c r="B5" s="13" t="s">
        <v>1123</v>
      </c>
      <c r="C5" s="13" t="s">
        <v>1124</v>
      </c>
      <c r="D5" s="13" t="s">
        <v>1125</v>
      </c>
      <c r="E5" s="13" t="s">
        <v>1126</v>
      </c>
      <c r="F5" s="13" t="s">
        <v>34</v>
      </c>
    </row>
    <row r="6" spans="1:6" ht="25.5">
      <c r="A6" s="16" t="s">
        <v>1127</v>
      </c>
      <c r="B6" s="17" t="s">
        <v>1128</v>
      </c>
      <c r="C6" s="17" t="s">
        <v>1129</v>
      </c>
      <c r="D6" s="17" t="s">
        <v>1130</v>
      </c>
      <c r="E6" s="17" t="s">
        <v>1131</v>
      </c>
      <c r="F6" s="17" t="s">
        <v>34</v>
      </c>
    </row>
    <row r="7" spans="1:6" ht="25.5">
      <c r="A7" s="12" t="s">
        <v>1132</v>
      </c>
      <c r="B7" s="13" t="s">
        <v>1133</v>
      </c>
      <c r="C7" s="13" t="s">
        <v>1134</v>
      </c>
      <c r="D7" s="13" t="s">
        <v>1135</v>
      </c>
      <c r="E7" s="13" t="s">
        <v>1136</v>
      </c>
      <c r="F7" s="13" t="s">
        <v>34</v>
      </c>
    </row>
    <row r="8" spans="1:6" ht="25.5">
      <c r="A8" s="16" t="s">
        <v>1137</v>
      </c>
      <c r="B8" s="17" t="s">
        <v>1138</v>
      </c>
      <c r="C8" s="17" t="s">
        <v>1139</v>
      </c>
      <c r="D8" s="17" t="s">
        <v>1140</v>
      </c>
      <c r="E8" s="17" t="s">
        <v>1141</v>
      </c>
      <c r="F8" s="17" t="s">
        <v>34</v>
      </c>
    </row>
    <row r="9" spans="1:6" ht="25.5">
      <c r="A9" s="12" t="s">
        <v>1142</v>
      </c>
      <c r="B9" s="13" t="s">
        <v>1143</v>
      </c>
      <c r="C9" s="13" t="s">
        <v>1144</v>
      </c>
      <c r="D9" s="13" t="s">
        <v>1145</v>
      </c>
      <c r="E9" s="13" t="s">
        <v>1146</v>
      </c>
      <c r="F9" s="13" t="s">
        <v>34</v>
      </c>
    </row>
    <row r="10" spans="1:6" ht="25.5">
      <c r="A10" s="16" t="s">
        <v>1147</v>
      </c>
      <c r="B10" s="17" t="s">
        <v>1148</v>
      </c>
      <c r="C10" s="17" t="s">
        <v>1149</v>
      </c>
      <c r="D10" s="17" t="s">
        <v>1150</v>
      </c>
      <c r="E10" s="17" t="s">
        <v>1151</v>
      </c>
      <c r="F10" s="17" t="s">
        <v>34</v>
      </c>
    </row>
    <row r="11" spans="1:6" ht="25.5">
      <c r="A11" s="12" t="s">
        <v>1152</v>
      </c>
      <c r="B11" s="13" t="s">
        <v>1153</v>
      </c>
      <c r="C11" s="13" t="s">
        <v>1154</v>
      </c>
      <c r="D11" s="13" t="s">
        <v>1155</v>
      </c>
      <c r="E11" s="13" t="s">
        <v>1156</v>
      </c>
      <c r="F11" s="13" t="s">
        <v>34</v>
      </c>
    </row>
    <row r="12" spans="1:6" ht="25.5">
      <c r="A12" s="16" t="s">
        <v>1157</v>
      </c>
      <c r="B12" s="17" t="s">
        <v>1158</v>
      </c>
      <c r="C12" s="17" t="s">
        <v>1159</v>
      </c>
      <c r="D12" s="17" t="s">
        <v>1160</v>
      </c>
      <c r="E12" s="17" t="s">
        <v>1161</v>
      </c>
      <c r="F12" s="17" t="s">
        <v>34</v>
      </c>
    </row>
    <row r="13" spans="1:6" ht="25.5">
      <c r="A13" s="12" t="s">
        <v>1162</v>
      </c>
      <c r="B13" s="13" t="s">
        <v>1163</v>
      </c>
      <c r="C13" s="13" t="s">
        <v>1164</v>
      </c>
      <c r="D13" s="13" t="s">
        <v>1165</v>
      </c>
      <c r="E13" s="13" t="s">
        <v>1166</v>
      </c>
      <c r="F13" s="13" t="s">
        <v>34</v>
      </c>
    </row>
    <row r="14" spans="1:6" ht="25.5">
      <c r="A14" s="16" t="s">
        <v>1167</v>
      </c>
      <c r="B14" s="17" t="s">
        <v>1168</v>
      </c>
      <c r="C14" s="17" t="s">
        <v>1169</v>
      </c>
      <c r="D14" s="17" t="s">
        <v>1170</v>
      </c>
      <c r="E14" s="17" t="s">
        <v>1171</v>
      </c>
      <c r="F14" s="17" t="s">
        <v>34</v>
      </c>
    </row>
    <row r="15" spans="1:6">
      <c r="A15" s="12" t="s">
        <v>1172</v>
      </c>
      <c r="B15" s="13" t="s">
        <v>1173</v>
      </c>
      <c r="C15" s="13" t="s">
        <v>1174</v>
      </c>
      <c r="D15" s="13" t="s">
        <v>1175</v>
      </c>
      <c r="E15" s="13" t="s">
        <v>1176</v>
      </c>
      <c r="F15" s="13" t="s">
        <v>34</v>
      </c>
    </row>
    <row r="16" spans="1:6">
      <c r="A16" s="16" t="s">
        <v>1177</v>
      </c>
      <c r="B16" s="17" t="s">
        <v>1178</v>
      </c>
      <c r="C16" s="17" t="s">
        <v>1179</v>
      </c>
      <c r="D16" s="17" t="s">
        <v>1180</v>
      </c>
      <c r="E16" s="17" t="s">
        <v>1181</v>
      </c>
      <c r="F16" s="17" t="s">
        <v>34</v>
      </c>
    </row>
    <row r="17" spans="1:6" ht="25.5">
      <c r="A17" s="12" t="s">
        <v>1182</v>
      </c>
      <c r="B17" s="13" t="s">
        <v>1183</v>
      </c>
      <c r="C17" s="13" t="s">
        <v>1184</v>
      </c>
      <c r="D17" s="13" t="s">
        <v>1185</v>
      </c>
      <c r="E17" s="13" t="s">
        <v>1186</v>
      </c>
      <c r="F17" s="13" t="s">
        <v>34</v>
      </c>
    </row>
    <row r="18" spans="1:6">
      <c r="A18" s="16" t="s">
        <v>1187</v>
      </c>
      <c r="B18" s="17" t="s">
        <v>1188</v>
      </c>
      <c r="C18" s="17" t="s">
        <v>1189</v>
      </c>
      <c r="D18" s="17" t="s">
        <v>1190</v>
      </c>
      <c r="E18" s="17" t="s">
        <v>1191</v>
      </c>
      <c r="F18" s="17" t="s">
        <v>71</v>
      </c>
    </row>
  </sheetData>
  <autoFilter ref="A2:F18"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1A63E"/>
  </sheetPr>
  <dimension ref="A1:E14"/>
  <sheetViews>
    <sheetView zoomScaleNormal="100" workbookViewId="0">
      <pane xSplit="1" ySplit="1" topLeftCell="B2" activePane="bottomRight" state="frozen"/>
      <selection pane="bottomRight"/>
      <selection pane="bottomLeft" activeCell="A2" sqref="A2"/>
      <selection pane="topRight" activeCell="B1" sqref="B1"/>
    </sheetView>
  </sheetViews>
  <sheetFormatPr defaultColWidth="8.7109375" defaultRowHeight="15"/>
  <cols>
    <col min="1" max="1" width="8" customWidth="1"/>
    <col min="2" max="2" width="58" customWidth="1"/>
    <col min="3" max="3" width="46" customWidth="1"/>
    <col min="4" max="4" width="22" customWidth="1"/>
    <col min="5" max="5" width="20" customWidth="1"/>
  </cols>
  <sheetData>
    <row r="1" spans="1:5" ht="27.75" customHeight="1">
      <c r="A1" s="11" t="s">
        <v>19</v>
      </c>
      <c r="B1" s="11" t="s">
        <v>1192</v>
      </c>
      <c r="C1" s="11" t="s">
        <v>1193</v>
      </c>
      <c r="D1" s="11" t="s">
        <v>1194</v>
      </c>
      <c r="E1" s="11" t="s">
        <v>1195</v>
      </c>
    </row>
    <row r="2" spans="1:5" ht="25.5">
      <c r="A2" s="12" t="s">
        <v>1196</v>
      </c>
      <c r="B2" s="13" t="s">
        <v>1197</v>
      </c>
      <c r="C2" s="13" t="s">
        <v>1198</v>
      </c>
      <c r="D2" s="13" t="s">
        <v>252</v>
      </c>
      <c r="E2" s="13" t="s">
        <v>1199</v>
      </c>
    </row>
    <row r="3" spans="1:5" ht="25.5">
      <c r="A3" s="16" t="s">
        <v>1200</v>
      </c>
      <c r="B3" s="17" t="s">
        <v>1201</v>
      </c>
      <c r="C3" s="17" t="s">
        <v>1202</v>
      </c>
      <c r="D3" s="17" t="s">
        <v>1203</v>
      </c>
      <c r="E3" s="17" t="s">
        <v>1204</v>
      </c>
    </row>
    <row r="4" spans="1:5" ht="25.5">
      <c r="A4" s="12" t="s">
        <v>1205</v>
      </c>
      <c r="B4" s="13" t="s">
        <v>1206</v>
      </c>
      <c r="C4" s="13" t="s">
        <v>1207</v>
      </c>
      <c r="D4" s="13" t="s">
        <v>690</v>
      </c>
      <c r="E4" s="13" t="s">
        <v>1208</v>
      </c>
    </row>
    <row r="5" spans="1:5" ht="25.5">
      <c r="A5" s="16" t="s">
        <v>1209</v>
      </c>
      <c r="B5" s="17" t="s">
        <v>1210</v>
      </c>
      <c r="C5" s="17" t="s">
        <v>1211</v>
      </c>
      <c r="D5" s="17" t="s">
        <v>1212</v>
      </c>
      <c r="E5" s="17" t="s">
        <v>1208</v>
      </c>
    </row>
    <row r="6" spans="1:5" ht="25.5">
      <c r="A6" s="12" t="s">
        <v>1213</v>
      </c>
      <c r="B6" s="13" t="s">
        <v>1214</v>
      </c>
      <c r="C6" s="13" t="s">
        <v>1215</v>
      </c>
      <c r="D6" s="13" t="s">
        <v>1216</v>
      </c>
      <c r="E6" s="13" t="s">
        <v>1217</v>
      </c>
    </row>
    <row r="7" spans="1:5" ht="25.5">
      <c r="A7" s="16" t="s">
        <v>1218</v>
      </c>
      <c r="B7" s="17" t="s">
        <v>1219</v>
      </c>
      <c r="C7" s="17" t="s">
        <v>1220</v>
      </c>
      <c r="D7" s="17" t="s">
        <v>1203</v>
      </c>
      <c r="E7" s="17" t="s">
        <v>1221</v>
      </c>
    </row>
    <row r="8" spans="1:5" ht="25.5">
      <c r="A8" s="12" t="s">
        <v>1222</v>
      </c>
      <c r="B8" s="13" t="s">
        <v>1223</v>
      </c>
      <c r="C8" s="13" t="s">
        <v>1224</v>
      </c>
      <c r="D8" s="13" t="s">
        <v>1216</v>
      </c>
      <c r="E8" s="13" t="s">
        <v>1221</v>
      </c>
    </row>
    <row r="9" spans="1:5" ht="25.5">
      <c r="A9" s="16" t="s">
        <v>1225</v>
      </c>
      <c r="B9" s="17" t="s">
        <v>1226</v>
      </c>
      <c r="C9" s="17" t="s">
        <v>1227</v>
      </c>
      <c r="D9" s="17" t="s">
        <v>1228</v>
      </c>
      <c r="E9" s="17" t="s">
        <v>1204</v>
      </c>
    </row>
    <row r="10" spans="1:5">
      <c r="A10" s="12" t="s">
        <v>1229</v>
      </c>
      <c r="B10" s="13" t="s">
        <v>1230</v>
      </c>
      <c r="C10" s="13" t="s">
        <v>1231</v>
      </c>
      <c r="D10" s="13" t="s">
        <v>81</v>
      </c>
      <c r="E10" s="13" t="s">
        <v>1217</v>
      </c>
    </row>
    <row r="11" spans="1:5">
      <c r="A11" s="16" t="s">
        <v>1232</v>
      </c>
      <c r="B11" s="17" t="s">
        <v>1233</v>
      </c>
      <c r="C11" s="17" t="s">
        <v>1234</v>
      </c>
      <c r="D11" s="17" t="s">
        <v>690</v>
      </c>
      <c r="E11" s="17" t="s">
        <v>1235</v>
      </c>
    </row>
    <row r="12" spans="1:5" ht="25.5">
      <c r="A12" s="12" t="s">
        <v>1236</v>
      </c>
      <c r="B12" s="13" t="s">
        <v>1237</v>
      </c>
      <c r="C12" s="13" t="s">
        <v>1238</v>
      </c>
      <c r="D12" s="13" t="s">
        <v>1239</v>
      </c>
      <c r="E12" s="13" t="s">
        <v>1204</v>
      </c>
    </row>
    <row r="13" spans="1:5">
      <c r="A13" s="16" t="s">
        <v>1240</v>
      </c>
      <c r="B13" s="17" t="s">
        <v>1241</v>
      </c>
      <c r="C13" s="17" t="s">
        <v>1242</v>
      </c>
      <c r="D13" s="17" t="s">
        <v>1212</v>
      </c>
      <c r="E13" s="17" t="s">
        <v>1243</v>
      </c>
    </row>
    <row r="14" spans="1:5" ht="25.5">
      <c r="A14" s="12" t="s">
        <v>1244</v>
      </c>
      <c r="B14" s="13" t="s">
        <v>1245</v>
      </c>
      <c r="C14" s="13" t="s">
        <v>1246</v>
      </c>
      <c r="D14" s="13" t="s">
        <v>252</v>
      </c>
      <c r="E14" s="13" t="s">
        <v>1199</v>
      </c>
    </row>
  </sheetData>
  <autoFilter ref="A1:E14" xr:uid="{00000000-0009-0000-0000-000007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vedant</dc:creator>
  <cp:keywords/>
  <dc:description/>
  <cp:lastModifiedBy/>
  <cp:revision>0</cp:revision>
  <dcterms:created xsi:type="dcterms:W3CDTF">2026-09-15T11:40:18Z</dcterms:created>
  <dcterms:modified xsi:type="dcterms:W3CDTF">2026-10-01T04:30:37Z</dcterms:modified>
  <cp:category/>
  <cp:contentStatus/>
</cp:coreProperties>
</file>